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Yogita Hiteshmali\Downloads\"/>
    </mc:Choice>
  </mc:AlternateContent>
  <xr:revisionPtr revIDLastSave="0" documentId="13_ncr:1_{1ACB506C-9AEC-40D3-80D3-288C81C0E190}" xr6:coauthVersionLast="47" xr6:coauthVersionMax="47" xr10:uidLastSave="{00000000-0000-0000-0000-000000000000}"/>
  <bookViews>
    <workbookView xWindow="-120" yWindow="-120" windowWidth="20730" windowHeight="11040" activeTab="4" xr2:uid="{00000000-000D-0000-FFFF-FFFF00000000}"/>
  </bookViews>
  <sheets>
    <sheet name="Rev History" sheetId="7" r:id="rId1"/>
    <sheet name="Documentation" sheetId="5" r:id="rId2"/>
    <sheet name="Format" sheetId="2" r:id="rId3"/>
    <sheet name="DB" sheetId="3" r:id="rId4"/>
    <sheet name="BINuniverse" sheetId="6" r:id="rId5"/>
    <sheet name="VolumeEstimation" sheetId="1" state="hidden" r:id="rId6"/>
  </sheets>
  <definedNames>
    <definedName name="_xlnm._FilterDatabase" localSheetId="4" hidden="1">BINuniverse!$A$2:$O$6</definedName>
    <definedName name="BALcellPtNum">DB!$H$3:$H$1048576</definedName>
    <definedName name="BALptNum">DB!$H$3:$H$1048576</definedName>
    <definedName name="BatteryConfig">DB!$J$3:$J$1048576</definedName>
    <definedName name="BMSmfg">DB!$F$3:$F$1048576</definedName>
    <definedName name="BMSsupplier">DB!$D$3:$D$1048576</definedName>
    <definedName name="Cellchem">DB!#REF!</definedName>
    <definedName name="Cellmfg">DB!$H$3:$H$1048576</definedName>
    <definedName name="CellType">DB!#REF!</definedName>
    <definedName name="PackSupplier">DB!$L$3:$L$1048576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 i="6" l="1"/>
  <c r="L22" i="2"/>
  <c r="L20" i="2"/>
  <c r="L21" i="2"/>
  <c r="L12" i="2" l="1"/>
  <c r="L13" i="2"/>
  <c r="L14" i="2"/>
  <c r="L15" i="2"/>
  <c r="L16" i="2"/>
  <c r="L17" i="2"/>
  <c r="L18" i="2"/>
  <c r="L19" i="2"/>
  <c r="L11" i="2"/>
  <c r="L10" i="2"/>
  <c r="L9" i="2"/>
  <c r="L8" i="2"/>
  <c r="L7" i="2"/>
  <c r="L6" i="2"/>
  <c r="M10" i="6" l="1"/>
  <c r="M8" i="6"/>
  <c r="M12" i="6"/>
  <c r="M7" i="6"/>
  <c r="M17" i="6"/>
  <c r="M16" i="6"/>
  <c r="M15" i="6"/>
  <c r="M14" i="6"/>
  <c r="M13" i="6"/>
  <c r="M11" i="6"/>
  <c r="M9" i="6"/>
  <c r="AC9" i="2"/>
  <c r="E6" i="2" l="1"/>
  <c r="F6" i="2"/>
  <c r="G6" i="2"/>
  <c r="D6" i="2"/>
  <c r="AU5" i="2" l="1"/>
  <c r="AU4" i="2"/>
  <c r="C5" i="2" l="1"/>
  <c r="C4" i="2"/>
  <c r="BE4" i="2" l="1"/>
  <c r="BD4" i="2" s="1"/>
  <c r="BE5" i="2"/>
  <c r="BD5" i="2" s="1"/>
  <c r="E5" i="1" l="1"/>
  <c r="E10" i="1" s="1"/>
  <c r="D5" i="1"/>
  <c r="D10" i="1" s="1"/>
  <c r="D11" i="1" l="1"/>
  <c r="E11" i="1"/>
  <c r="F11" i="1" l="1"/>
  <c r="F14" i="1"/>
  <c r="F15" i="1" s="1"/>
  <c r="AV6" i="2" l="1"/>
  <c r="AW6" i="2"/>
  <c r="AX6" i="2"/>
  <c r="AY6" i="2"/>
  <c r="AZ6" i="2"/>
  <c r="BA6" i="2"/>
  <c r="BB6" i="2"/>
  <c r="BC6" i="2"/>
  <c r="B1" i="2" l="1"/>
  <c r="M67" i="2" s="1"/>
  <c r="U67" i="2" l="1"/>
  <c r="P67" i="2"/>
  <c r="O67" i="2"/>
  <c r="T67" i="2"/>
  <c r="S67" i="2"/>
  <c r="R67" i="2"/>
  <c r="Q67" i="2"/>
  <c r="N67" i="2"/>
  <c r="W7" i="2"/>
  <c r="M119" i="2"/>
  <c r="M159" i="2"/>
  <c r="M87" i="2"/>
  <c r="M9" i="2"/>
  <c r="M136" i="2"/>
  <c r="M8" i="2"/>
  <c r="M46" i="2"/>
  <c r="M99" i="2"/>
  <c r="M89" i="2"/>
  <c r="M7" i="2"/>
  <c r="M254" i="2"/>
  <c r="M243" i="2"/>
  <c r="M221" i="2"/>
  <c r="M169" i="2"/>
  <c r="M257" i="2"/>
  <c r="M34" i="2"/>
  <c r="W18" i="2"/>
  <c r="M92" i="2"/>
  <c r="M233" i="2"/>
  <c r="M55" i="2"/>
  <c r="M214" i="2"/>
  <c r="M95" i="2"/>
  <c r="M53" i="2"/>
  <c r="M245" i="2"/>
  <c r="M122" i="2"/>
  <c r="M51" i="2"/>
  <c r="M27" i="2"/>
  <c r="M20" i="2"/>
  <c r="M15" i="2"/>
  <c r="M35" i="2"/>
  <c r="M12" i="2"/>
  <c r="M70" i="2"/>
  <c r="M235" i="2"/>
  <c r="M19" i="2"/>
  <c r="M6" i="2"/>
  <c r="M161" i="2"/>
  <c r="M13" i="2"/>
  <c r="M117" i="2"/>
  <c r="W19" i="2"/>
  <c r="M232" i="2"/>
  <c r="M216" i="2"/>
  <c r="M174" i="2"/>
  <c r="M23" i="2"/>
  <c r="M239" i="2"/>
  <c r="M154" i="2"/>
  <c r="W9" i="2"/>
  <c r="W13" i="2"/>
  <c r="M170" i="2"/>
  <c r="M188" i="2"/>
  <c r="M42" i="2"/>
  <c r="M63" i="2"/>
  <c r="M206" i="2"/>
  <c r="M41" i="2"/>
  <c r="M30" i="2"/>
  <c r="M74" i="2"/>
  <c r="M54" i="2"/>
  <c r="M141" i="2"/>
  <c r="M131" i="2"/>
  <c r="M96" i="2"/>
  <c r="M91" i="2"/>
  <c r="M181" i="2"/>
  <c r="M58" i="2"/>
  <c r="M43" i="2"/>
  <c r="W21" i="2"/>
  <c r="M211" i="2"/>
  <c r="M185" i="2"/>
  <c r="M129" i="2"/>
  <c r="M202" i="2"/>
  <c r="M249" i="2"/>
  <c r="M176" i="2"/>
  <c r="M10" i="2"/>
  <c r="M71" i="2"/>
  <c r="M78" i="2"/>
  <c r="M123" i="2"/>
  <c r="M86" i="2"/>
  <c r="M65" i="2"/>
  <c r="M17" i="2"/>
  <c r="M16" i="2"/>
  <c r="M110" i="2"/>
  <c r="M250" i="2"/>
  <c r="M93" i="2"/>
  <c r="M109" i="2"/>
  <c r="M107" i="2"/>
  <c r="M260" i="2"/>
  <c r="M29" i="2"/>
  <c r="M145" i="2"/>
  <c r="M178" i="2"/>
  <c r="M32" i="2"/>
  <c r="M199" i="2"/>
  <c r="M240" i="2"/>
  <c r="M204" i="2"/>
  <c r="W15" i="2"/>
  <c r="M85" i="2"/>
  <c r="M183" i="2"/>
  <c r="M62" i="2"/>
  <c r="M195" i="2"/>
  <c r="M210" i="2"/>
  <c r="M56" i="2"/>
  <c r="M205" i="2"/>
  <c r="W20" i="2"/>
  <c r="M97" i="2"/>
  <c r="M59" i="2"/>
  <c r="M256" i="2"/>
  <c r="M130" i="2"/>
  <c r="M226" i="2"/>
  <c r="M241" i="2"/>
  <c r="M79" i="2"/>
  <c r="M223" i="2"/>
  <c r="M238" i="2"/>
  <c r="M237" i="2"/>
  <c r="M82" i="2"/>
  <c r="M69" i="2"/>
  <c r="M192" i="2"/>
  <c r="M173" i="2"/>
  <c r="M157" i="2"/>
  <c r="M116" i="2"/>
  <c r="W16" i="2"/>
  <c r="W14" i="2"/>
  <c r="M121" i="2"/>
  <c r="M50" i="2"/>
  <c r="M113" i="2"/>
  <c r="M47" i="2"/>
  <c r="M172" i="2"/>
  <c r="M126" i="2"/>
  <c r="M179" i="2"/>
  <c r="M146" i="2"/>
  <c r="M84" i="2"/>
  <c r="M152" i="2"/>
  <c r="M90" i="2"/>
  <c r="M118" i="2"/>
  <c r="M101" i="2"/>
  <c r="M225" i="2"/>
  <c r="M143" i="2"/>
  <c r="M72" i="2"/>
  <c r="M261" i="2"/>
  <c r="M231" i="2"/>
  <c r="M186" i="2"/>
  <c r="M156" i="2"/>
  <c r="M217" i="2"/>
  <c r="M133" i="2"/>
  <c r="M219" i="2"/>
  <c r="M14" i="2"/>
  <c r="M44" i="2"/>
  <c r="M222" i="2"/>
  <c r="M258" i="2"/>
  <c r="M175" i="2"/>
  <c r="M208" i="2"/>
  <c r="M111" i="2"/>
  <c r="W6" i="2"/>
  <c r="M180" i="2"/>
  <c r="M60" i="2"/>
  <c r="M21" i="2"/>
  <c r="M234" i="2"/>
  <c r="M49" i="2"/>
  <c r="M218" i="2"/>
  <c r="M150" i="2"/>
  <c r="M165" i="2"/>
  <c r="M128" i="2"/>
  <c r="M162" i="2"/>
  <c r="M64" i="2"/>
  <c r="M140" i="2"/>
  <c r="M83" i="2"/>
  <c r="M61" i="2"/>
  <c r="M177" i="2"/>
  <c r="M151" i="2"/>
  <c r="M229" i="2"/>
  <c r="M88" i="2"/>
  <c r="M28" i="2"/>
  <c r="M184" i="2"/>
  <c r="M52" i="2"/>
  <c r="M212" i="2"/>
  <c r="M215" i="2"/>
  <c r="M138" i="2"/>
  <c r="M81" i="2"/>
  <c r="M168" i="2"/>
  <c r="W10" i="2"/>
  <c r="M31" i="2"/>
  <c r="M100" i="2"/>
  <c r="M236" i="2"/>
  <c r="M227" i="2"/>
  <c r="M251" i="2"/>
  <c r="W8" i="2"/>
  <c r="M153" i="2"/>
  <c r="M104" i="2"/>
  <c r="M158" i="2"/>
  <c r="M142" i="2"/>
  <c r="M125" i="2"/>
  <c r="M11" i="2"/>
  <c r="M124" i="2"/>
  <c r="W12" i="2"/>
  <c r="M106" i="2"/>
  <c r="M230" i="2"/>
  <c r="M98" i="2"/>
  <c r="M193" i="2"/>
  <c r="M203" i="2"/>
  <c r="M73" i="2"/>
  <c r="M25" i="2"/>
  <c r="M242" i="2"/>
  <c r="M196" i="2"/>
  <c r="M155" i="2"/>
  <c r="M194" i="2"/>
  <c r="M213" i="2"/>
  <c r="M102" i="2"/>
  <c r="M149" i="2"/>
  <c r="M246" i="2"/>
  <c r="M166" i="2"/>
  <c r="M163" i="2"/>
  <c r="M248" i="2"/>
  <c r="M198" i="2"/>
  <c r="M187" i="2"/>
  <c r="M33" i="2"/>
  <c r="M197" i="2"/>
  <c r="M22" i="2"/>
  <c r="M191" i="2"/>
  <c r="M26" i="2"/>
  <c r="M182" i="2"/>
  <c r="M103" i="2"/>
  <c r="M68" i="2"/>
  <c r="M38" i="2"/>
  <c r="M247" i="2"/>
  <c r="M115" i="2"/>
  <c r="M253" i="2"/>
  <c r="M139" i="2"/>
  <c r="M39" i="2"/>
  <c r="M160" i="2"/>
  <c r="M167" i="2"/>
  <c r="M134" i="2"/>
  <c r="M147" i="2"/>
  <c r="M108" i="2"/>
  <c r="M255" i="2"/>
  <c r="M252" i="2"/>
  <c r="M127" i="2"/>
  <c r="M220" i="2"/>
  <c r="M36" i="2"/>
  <c r="M77" i="2"/>
  <c r="M75" i="2"/>
  <c r="M45" i="2"/>
  <c r="M244" i="2"/>
  <c r="M114" i="2"/>
  <c r="M228" i="2"/>
  <c r="M18" i="2"/>
  <c r="M144" i="2"/>
  <c r="M224" i="2"/>
  <c r="M200" i="2"/>
  <c r="W17" i="2"/>
  <c r="M259" i="2"/>
  <c r="M80" i="2"/>
  <c r="M105" i="2"/>
  <c r="M132" i="2"/>
  <c r="M135" i="2"/>
  <c r="M24" i="2"/>
  <c r="M48" i="2"/>
  <c r="M76" i="2"/>
  <c r="M137" i="2"/>
  <c r="M112" i="2"/>
  <c r="M57" i="2"/>
  <c r="M40" i="2"/>
  <c r="M190" i="2"/>
  <c r="M164" i="2"/>
  <c r="M148" i="2"/>
  <c r="M207" i="2"/>
  <c r="M171" i="2"/>
  <c r="M94" i="2"/>
  <c r="M209" i="2"/>
  <c r="M120" i="2"/>
  <c r="M37" i="2"/>
  <c r="M66" i="2"/>
  <c r="M201" i="2"/>
  <c r="M189" i="2"/>
  <c r="M5" i="6" l="1"/>
  <c r="M4" i="6"/>
  <c r="M3" i="6"/>
  <c r="M6" i="6"/>
  <c r="N94" i="2"/>
  <c r="R94" i="2"/>
  <c r="U94" i="2"/>
  <c r="T94" i="2"/>
  <c r="P94" i="2"/>
  <c r="Q94" i="2"/>
  <c r="S94" i="2"/>
  <c r="O94" i="2"/>
  <c r="S24" i="2"/>
  <c r="P24" i="2"/>
  <c r="R24" i="2"/>
  <c r="T24" i="2"/>
  <c r="Q24" i="2"/>
  <c r="N24" i="2"/>
  <c r="U24" i="2"/>
  <c r="O24" i="2"/>
  <c r="S77" i="2"/>
  <c r="N77" i="2"/>
  <c r="R77" i="2"/>
  <c r="P77" i="2"/>
  <c r="T77" i="2"/>
  <c r="Q77" i="2"/>
  <c r="U77" i="2"/>
  <c r="O77" i="2"/>
  <c r="Q190" i="2"/>
  <c r="R190" i="2"/>
  <c r="N190" i="2"/>
  <c r="O190" i="2"/>
  <c r="T190" i="2"/>
  <c r="S190" i="2"/>
  <c r="U190" i="2"/>
  <c r="P190" i="2"/>
  <c r="O135" i="2"/>
  <c r="R135" i="2"/>
  <c r="U135" i="2"/>
  <c r="T135" i="2"/>
  <c r="S135" i="2"/>
  <c r="P135" i="2"/>
  <c r="Q135" i="2"/>
  <c r="N135" i="2"/>
  <c r="T259" i="2"/>
  <c r="R259" i="2"/>
  <c r="N259" i="2"/>
  <c r="U259" i="2"/>
  <c r="O259" i="2"/>
  <c r="P259" i="2"/>
  <c r="Q259" i="2"/>
  <c r="S259" i="2"/>
  <c r="O244" i="2"/>
  <c r="T244" i="2"/>
  <c r="R244" i="2"/>
  <c r="U244" i="2"/>
  <c r="S244" i="2"/>
  <c r="Q244" i="2"/>
  <c r="N244" i="2"/>
  <c r="P244" i="2"/>
  <c r="T167" i="2"/>
  <c r="Q167" i="2"/>
  <c r="U167" i="2"/>
  <c r="N167" i="2"/>
  <c r="P167" i="2"/>
  <c r="R167" i="2"/>
  <c r="O167" i="2"/>
  <c r="S167" i="2"/>
  <c r="N189" i="2"/>
  <c r="P189" i="2"/>
  <c r="T189" i="2"/>
  <c r="S189" i="2"/>
  <c r="Q189" i="2"/>
  <c r="U189" i="2"/>
  <c r="R189" i="2"/>
  <c r="O189" i="2"/>
  <c r="O120" i="2"/>
  <c r="P120" i="2"/>
  <c r="S120" i="2"/>
  <c r="T120" i="2"/>
  <c r="Q120" i="2"/>
  <c r="N120" i="2"/>
  <c r="U120" i="2"/>
  <c r="R120" i="2"/>
  <c r="N207" i="2"/>
  <c r="T207" i="2"/>
  <c r="Q207" i="2"/>
  <c r="S207" i="2"/>
  <c r="O207" i="2"/>
  <c r="P207" i="2"/>
  <c r="U207" i="2"/>
  <c r="R207" i="2"/>
  <c r="O40" i="2"/>
  <c r="N40" i="2"/>
  <c r="S40" i="2"/>
  <c r="U40" i="2"/>
  <c r="R40" i="2"/>
  <c r="T40" i="2"/>
  <c r="P40" i="2"/>
  <c r="Q40" i="2"/>
  <c r="T76" i="2"/>
  <c r="S76" i="2"/>
  <c r="R76" i="2"/>
  <c r="N76" i="2"/>
  <c r="P76" i="2"/>
  <c r="Q76" i="2"/>
  <c r="O76" i="2"/>
  <c r="U76" i="2"/>
  <c r="R132" i="2"/>
  <c r="T132" i="2"/>
  <c r="P132" i="2"/>
  <c r="N132" i="2"/>
  <c r="U132" i="2"/>
  <c r="S132" i="2"/>
  <c r="Q132" i="2"/>
  <c r="O132" i="2"/>
  <c r="AA17" i="2"/>
  <c r="Z17" i="2"/>
  <c r="Y17" i="2"/>
  <c r="X17" i="2"/>
  <c r="S18" i="2"/>
  <c r="Q18" i="2"/>
  <c r="R18" i="2"/>
  <c r="N18" i="2"/>
  <c r="U18" i="2"/>
  <c r="O18" i="2"/>
  <c r="P18" i="2"/>
  <c r="T18" i="2"/>
  <c r="U45" i="2"/>
  <c r="N45" i="2"/>
  <c r="O45" i="2"/>
  <c r="P45" i="2"/>
  <c r="R45" i="2"/>
  <c r="T45" i="2"/>
  <c r="S45" i="2"/>
  <c r="Q45" i="2"/>
  <c r="P220" i="2"/>
  <c r="T220" i="2"/>
  <c r="S220" i="2"/>
  <c r="R220" i="2"/>
  <c r="O220" i="2"/>
  <c r="U220" i="2"/>
  <c r="Q220" i="2"/>
  <c r="N220" i="2"/>
  <c r="Q108" i="2"/>
  <c r="P108" i="2"/>
  <c r="N108" i="2"/>
  <c r="S108" i="2"/>
  <c r="O108" i="2"/>
  <c r="R108" i="2"/>
  <c r="U108" i="2"/>
  <c r="T108" i="2"/>
  <c r="S160" i="2"/>
  <c r="U160" i="2"/>
  <c r="Q160" i="2"/>
  <c r="N160" i="2"/>
  <c r="O160" i="2"/>
  <c r="P160" i="2"/>
  <c r="T160" i="2"/>
  <c r="R160" i="2"/>
  <c r="R115" i="2"/>
  <c r="T115" i="2"/>
  <c r="P115" i="2"/>
  <c r="O115" i="2"/>
  <c r="N115" i="2"/>
  <c r="Q115" i="2"/>
  <c r="U115" i="2"/>
  <c r="S115" i="2"/>
  <c r="Q103" i="2"/>
  <c r="N103" i="2"/>
  <c r="U103" i="2"/>
  <c r="R103" i="2"/>
  <c r="O103" i="2"/>
  <c r="S103" i="2"/>
  <c r="T103" i="2"/>
  <c r="P103" i="2"/>
  <c r="O22" i="2"/>
  <c r="U22" i="2"/>
  <c r="N22" i="2"/>
  <c r="R22" i="2"/>
  <c r="T22" i="2"/>
  <c r="Q22" i="2"/>
  <c r="S22" i="2"/>
  <c r="P22" i="2"/>
  <c r="U198" i="2"/>
  <c r="N198" i="2"/>
  <c r="T198" i="2"/>
  <c r="O198" i="2"/>
  <c r="R198" i="2"/>
  <c r="P198" i="2"/>
  <c r="S198" i="2"/>
  <c r="Q198" i="2"/>
  <c r="R246" i="2"/>
  <c r="T246" i="2"/>
  <c r="U246" i="2"/>
  <c r="S246" i="2"/>
  <c r="O246" i="2"/>
  <c r="Q246" i="2"/>
  <c r="P246" i="2"/>
  <c r="N246" i="2"/>
  <c r="O194" i="2"/>
  <c r="R194" i="2"/>
  <c r="U194" i="2"/>
  <c r="S194" i="2"/>
  <c r="P194" i="2"/>
  <c r="T194" i="2"/>
  <c r="N194" i="2"/>
  <c r="Q194" i="2"/>
  <c r="S25" i="2"/>
  <c r="P25" i="2"/>
  <c r="N25" i="2"/>
  <c r="T25" i="2"/>
  <c r="O25" i="2"/>
  <c r="Q25" i="2"/>
  <c r="U25" i="2"/>
  <c r="R25" i="2"/>
  <c r="N98" i="2"/>
  <c r="P98" i="2"/>
  <c r="Q98" i="2"/>
  <c r="R98" i="2"/>
  <c r="O98" i="2"/>
  <c r="T98" i="2"/>
  <c r="U98" i="2"/>
  <c r="S98" i="2"/>
  <c r="Q124" i="2"/>
  <c r="T124" i="2"/>
  <c r="R124" i="2"/>
  <c r="S124" i="2"/>
  <c r="O124" i="2"/>
  <c r="P124" i="2"/>
  <c r="N124" i="2"/>
  <c r="U124" i="2"/>
  <c r="T158" i="2"/>
  <c r="P158" i="2"/>
  <c r="U158" i="2"/>
  <c r="R158" i="2"/>
  <c r="O158" i="2"/>
  <c r="N158" i="2"/>
  <c r="Q158" i="2"/>
  <c r="S158" i="2"/>
  <c r="N251" i="2"/>
  <c r="P251" i="2"/>
  <c r="O251" i="2"/>
  <c r="Q251" i="2"/>
  <c r="S251" i="2"/>
  <c r="T251" i="2"/>
  <c r="U251" i="2"/>
  <c r="R251" i="2"/>
  <c r="R31" i="2"/>
  <c r="S31" i="2"/>
  <c r="N31" i="2"/>
  <c r="O31" i="2"/>
  <c r="U31" i="2"/>
  <c r="Q31" i="2"/>
  <c r="P31" i="2"/>
  <c r="T31" i="2"/>
  <c r="N138" i="2"/>
  <c r="O138" i="2"/>
  <c r="P138" i="2"/>
  <c r="S138" i="2"/>
  <c r="T138" i="2"/>
  <c r="R138" i="2"/>
  <c r="Q138" i="2"/>
  <c r="U138" i="2"/>
  <c r="S184" i="2"/>
  <c r="R184" i="2"/>
  <c r="T184" i="2"/>
  <c r="U184" i="2"/>
  <c r="Q184" i="2"/>
  <c r="P184" i="2"/>
  <c r="N184" i="2"/>
  <c r="O184" i="2"/>
  <c r="P151" i="2"/>
  <c r="O151" i="2"/>
  <c r="S151" i="2"/>
  <c r="U151" i="2"/>
  <c r="N151" i="2"/>
  <c r="Q151" i="2"/>
  <c r="T151" i="2"/>
  <c r="R151" i="2"/>
  <c r="O140" i="2"/>
  <c r="R140" i="2"/>
  <c r="T140" i="2"/>
  <c r="U140" i="2"/>
  <c r="S140" i="2"/>
  <c r="Q140" i="2"/>
  <c r="P140" i="2"/>
  <c r="N140" i="2"/>
  <c r="N165" i="2"/>
  <c r="P165" i="2"/>
  <c r="U165" i="2"/>
  <c r="T165" i="2"/>
  <c r="O165" i="2"/>
  <c r="S165" i="2"/>
  <c r="Q165" i="2"/>
  <c r="R165" i="2"/>
  <c r="Q234" i="2"/>
  <c r="S234" i="2"/>
  <c r="P234" i="2"/>
  <c r="U234" i="2"/>
  <c r="O234" i="2"/>
  <c r="R234" i="2"/>
  <c r="T234" i="2"/>
  <c r="N234" i="2"/>
  <c r="AA6" i="2"/>
  <c r="Y6" i="2"/>
  <c r="X6" i="2"/>
  <c r="Z6" i="2"/>
  <c r="R258" i="2"/>
  <c r="S258" i="2"/>
  <c r="T258" i="2"/>
  <c r="O258" i="2"/>
  <c r="N258" i="2"/>
  <c r="Q258" i="2"/>
  <c r="P258" i="2"/>
  <c r="U258" i="2"/>
  <c r="R219" i="2"/>
  <c r="T219" i="2"/>
  <c r="Q219" i="2"/>
  <c r="S219" i="2"/>
  <c r="N219" i="2"/>
  <c r="U219" i="2"/>
  <c r="P219" i="2"/>
  <c r="O219" i="2"/>
  <c r="S186" i="2"/>
  <c r="N186" i="2"/>
  <c r="T186" i="2"/>
  <c r="O186" i="2"/>
  <c r="P186" i="2"/>
  <c r="U186" i="2"/>
  <c r="Q186" i="2"/>
  <c r="R186" i="2"/>
  <c r="P143" i="2"/>
  <c r="U143" i="2"/>
  <c r="Q143" i="2"/>
  <c r="R143" i="2"/>
  <c r="S143" i="2"/>
  <c r="N143" i="2"/>
  <c r="T143" i="2"/>
  <c r="O143" i="2"/>
  <c r="O90" i="2"/>
  <c r="S90" i="2"/>
  <c r="U90" i="2"/>
  <c r="Q90" i="2"/>
  <c r="P90" i="2"/>
  <c r="R90" i="2"/>
  <c r="N90" i="2"/>
  <c r="T90" i="2"/>
  <c r="O179" i="2"/>
  <c r="Q179" i="2"/>
  <c r="P179" i="2"/>
  <c r="N179" i="2"/>
  <c r="T179" i="2"/>
  <c r="S179" i="2"/>
  <c r="R179" i="2"/>
  <c r="U179" i="2"/>
  <c r="N113" i="2"/>
  <c r="U113" i="2"/>
  <c r="P113" i="2"/>
  <c r="O113" i="2"/>
  <c r="R113" i="2"/>
  <c r="T113" i="2"/>
  <c r="S113" i="2"/>
  <c r="Q113" i="2"/>
  <c r="X16" i="2"/>
  <c r="Z16" i="2"/>
  <c r="Y16" i="2"/>
  <c r="AA16" i="2"/>
  <c r="T192" i="2"/>
  <c r="O192" i="2"/>
  <c r="Q192" i="2"/>
  <c r="U192" i="2"/>
  <c r="S192" i="2"/>
  <c r="N192" i="2"/>
  <c r="P192" i="2"/>
  <c r="R192" i="2"/>
  <c r="R238" i="2"/>
  <c r="N238" i="2"/>
  <c r="O238" i="2"/>
  <c r="P238" i="2"/>
  <c r="Q238" i="2"/>
  <c r="S238" i="2"/>
  <c r="U238" i="2"/>
  <c r="T238" i="2"/>
  <c r="Q241" i="2"/>
  <c r="S241" i="2"/>
  <c r="U241" i="2"/>
  <c r="N241" i="2"/>
  <c r="P241" i="2"/>
  <c r="R241" i="2"/>
  <c r="O241" i="2"/>
  <c r="T241" i="2"/>
  <c r="P256" i="2"/>
  <c r="R256" i="2"/>
  <c r="U256" i="2"/>
  <c r="O256" i="2"/>
  <c r="N256" i="2"/>
  <c r="Q256" i="2"/>
  <c r="S256" i="2"/>
  <c r="T256" i="2"/>
  <c r="U205" i="2"/>
  <c r="R205" i="2"/>
  <c r="N205" i="2"/>
  <c r="P205" i="2"/>
  <c r="Q205" i="2"/>
  <c r="O205" i="2"/>
  <c r="S205" i="2"/>
  <c r="T205" i="2"/>
  <c r="N62" i="2"/>
  <c r="T62" i="2"/>
  <c r="U62" i="2"/>
  <c r="S62" i="2"/>
  <c r="O62" i="2"/>
  <c r="P62" i="2"/>
  <c r="Q62" i="2"/>
  <c r="R62" i="2"/>
  <c r="T204" i="2"/>
  <c r="O204" i="2"/>
  <c r="S204" i="2"/>
  <c r="P204" i="2"/>
  <c r="R204" i="2"/>
  <c r="N204" i="2"/>
  <c r="Q204" i="2"/>
  <c r="U204" i="2"/>
  <c r="P178" i="2"/>
  <c r="O178" i="2"/>
  <c r="T178" i="2"/>
  <c r="N178" i="2"/>
  <c r="Q178" i="2"/>
  <c r="S178" i="2"/>
  <c r="R178" i="2"/>
  <c r="U178" i="2"/>
  <c r="S107" i="2"/>
  <c r="U107" i="2"/>
  <c r="N107" i="2"/>
  <c r="Q107" i="2"/>
  <c r="T107" i="2"/>
  <c r="P107" i="2"/>
  <c r="R107" i="2"/>
  <c r="O107" i="2"/>
  <c r="O110" i="2"/>
  <c r="R110" i="2"/>
  <c r="N110" i="2"/>
  <c r="P110" i="2"/>
  <c r="S110" i="2"/>
  <c r="U110" i="2"/>
  <c r="T110" i="2"/>
  <c r="Q110" i="2"/>
  <c r="Q86" i="2"/>
  <c r="O86" i="2"/>
  <c r="N86" i="2"/>
  <c r="R86" i="2"/>
  <c r="T86" i="2"/>
  <c r="U86" i="2"/>
  <c r="S86" i="2"/>
  <c r="P86" i="2"/>
  <c r="Q10" i="2"/>
  <c r="N10" i="2"/>
  <c r="U10" i="2"/>
  <c r="O10" i="2"/>
  <c r="P10" i="2"/>
  <c r="T10" i="2"/>
  <c r="R10" i="2"/>
  <c r="S10" i="2"/>
  <c r="O129" i="2"/>
  <c r="N129" i="2"/>
  <c r="R129" i="2"/>
  <c r="Q129" i="2"/>
  <c r="U129" i="2"/>
  <c r="T129" i="2"/>
  <c r="S129" i="2"/>
  <c r="P129" i="2"/>
  <c r="R43" i="2"/>
  <c r="P43" i="2"/>
  <c r="O43" i="2"/>
  <c r="U43" i="2"/>
  <c r="S43" i="2"/>
  <c r="Q43" i="2"/>
  <c r="T43" i="2"/>
  <c r="N43" i="2"/>
  <c r="P96" i="2"/>
  <c r="Q96" i="2"/>
  <c r="O96" i="2"/>
  <c r="N96" i="2"/>
  <c r="T96" i="2"/>
  <c r="U96" i="2"/>
  <c r="S96" i="2"/>
  <c r="R96" i="2"/>
  <c r="S74" i="2"/>
  <c r="T74" i="2"/>
  <c r="U74" i="2"/>
  <c r="Q74" i="2"/>
  <c r="R74" i="2"/>
  <c r="N74" i="2"/>
  <c r="P74" i="2"/>
  <c r="O74" i="2"/>
  <c r="S63" i="2"/>
  <c r="R63" i="2"/>
  <c r="N63" i="2"/>
  <c r="U63" i="2"/>
  <c r="T63" i="2"/>
  <c r="Q63" i="2"/>
  <c r="P63" i="2"/>
  <c r="O63" i="2"/>
  <c r="X13" i="2"/>
  <c r="AA13" i="2"/>
  <c r="Z13" i="2"/>
  <c r="Y13" i="2"/>
  <c r="P23" i="2"/>
  <c r="R23" i="2"/>
  <c r="Q23" i="2"/>
  <c r="U23" i="2"/>
  <c r="O23" i="2"/>
  <c r="S23" i="2"/>
  <c r="N23" i="2"/>
  <c r="T23" i="2"/>
  <c r="AA19" i="2"/>
  <c r="Y19" i="2"/>
  <c r="X19" i="2"/>
  <c r="Z19" i="2"/>
  <c r="T6" i="2"/>
  <c r="N6" i="2"/>
  <c r="Q6" i="2"/>
  <c r="O6" i="2"/>
  <c r="S6" i="2"/>
  <c r="U6" i="2"/>
  <c r="P6" i="2"/>
  <c r="R6" i="2"/>
  <c r="Q12" i="2"/>
  <c r="P12" i="2"/>
  <c r="S12" i="2"/>
  <c r="R12" i="2"/>
  <c r="O12" i="2"/>
  <c r="N12" i="2"/>
  <c r="T12" i="2"/>
  <c r="U12" i="2"/>
  <c r="Q27" i="2"/>
  <c r="T27" i="2"/>
  <c r="R27" i="2"/>
  <c r="O27" i="2"/>
  <c r="U27" i="2"/>
  <c r="N27" i="2"/>
  <c r="S27" i="2"/>
  <c r="P27" i="2"/>
  <c r="S53" i="2"/>
  <c r="R53" i="2"/>
  <c r="P53" i="2"/>
  <c r="Q53" i="2"/>
  <c r="N53" i="2"/>
  <c r="U53" i="2"/>
  <c r="T53" i="2"/>
  <c r="O53" i="2"/>
  <c r="N233" i="2"/>
  <c r="T233" i="2"/>
  <c r="R233" i="2"/>
  <c r="O233" i="2"/>
  <c r="U233" i="2"/>
  <c r="P233" i="2"/>
  <c r="Q233" i="2"/>
  <c r="S233" i="2"/>
  <c r="T257" i="2"/>
  <c r="Q257" i="2"/>
  <c r="O257" i="2"/>
  <c r="S257" i="2"/>
  <c r="U257" i="2"/>
  <c r="R257" i="2"/>
  <c r="N257" i="2"/>
  <c r="P257" i="2"/>
  <c r="Q254" i="2"/>
  <c r="P254" i="2"/>
  <c r="O254" i="2"/>
  <c r="T254" i="2"/>
  <c r="R254" i="2"/>
  <c r="U254" i="2"/>
  <c r="N254" i="2"/>
  <c r="S254" i="2"/>
  <c r="T46" i="2"/>
  <c r="R46" i="2"/>
  <c r="N46" i="2"/>
  <c r="S46" i="2"/>
  <c r="P46" i="2"/>
  <c r="Q46" i="2"/>
  <c r="U46" i="2"/>
  <c r="O46" i="2"/>
  <c r="R87" i="2"/>
  <c r="U87" i="2"/>
  <c r="N87" i="2"/>
  <c r="T87" i="2"/>
  <c r="O87" i="2"/>
  <c r="Q87" i="2"/>
  <c r="P87" i="2"/>
  <c r="S87" i="2"/>
  <c r="O209" i="2"/>
  <c r="S209" i="2"/>
  <c r="T209" i="2"/>
  <c r="R209" i="2"/>
  <c r="U209" i="2"/>
  <c r="P209" i="2"/>
  <c r="Q209" i="2"/>
  <c r="N209" i="2"/>
  <c r="O148" i="2"/>
  <c r="U148" i="2"/>
  <c r="R148" i="2"/>
  <c r="N148" i="2"/>
  <c r="S148" i="2"/>
  <c r="P148" i="2"/>
  <c r="Q148" i="2"/>
  <c r="T148" i="2"/>
  <c r="U57" i="2"/>
  <c r="Q57" i="2"/>
  <c r="S57" i="2"/>
  <c r="P57" i="2"/>
  <c r="O57" i="2"/>
  <c r="N57" i="2"/>
  <c r="T57" i="2"/>
  <c r="R57" i="2"/>
  <c r="R48" i="2"/>
  <c r="T48" i="2"/>
  <c r="U48" i="2"/>
  <c r="S48" i="2"/>
  <c r="O48" i="2"/>
  <c r="Q48" i="2"/>
  <c r="P48" i="2"/>
  <c r="N48" i="2"/>
  <c r="Q105" i="2"/>
  <c r="S105" i="2"/>
  <c r="U105" i="2"/>
  <c r="P105" i="2"/>
  <c r="N105" i="2"/>
  <c r="R105" i="2"/>
  <c r="T105" i="2"/>
  <c r="O105" i="2"/>
  <c r="P200" i="2"/>
  <c r="U200" i="2"/>
  <c r="R200" i="2"/>
  <c r="S200" i="2"/>
  <c r="O200" i="2"/>
  <c r="Q200" i="2"/>
  <c r="N200" i="2"/>
  <c r="T200" i="2"/>
  <c r="Q228" i="2"/>
  <c r="R228" i="2"/>
  <c r="S228" i="2"/>
  <c r="O228" i="2"/>
  <c r="T228" i="2"/>
  <c r="P228" i="2"/>
  <c r="N228" i="2"/>
  <c r="U228" i="2"/>
  <c r="Q75" i="2"/>
  <c r="O75" i="2"/>
  <c r="N75" i="2"/>
  <c r="U75" i="2"/>
  <c r="T75" i="2"/>
  <c r="S75" i="2"/>
  <c r="R75" i="2"/>
  <c r="P75" i="2"/>
  <c r="S127" i="2"/>
  <c r="P127" i="2"/>
  <c r="U127" i="2"/>
  <c r="R127" i="2"/>
  <c r="T127" i="2"/>
  <c r="N127" i="2"/>
  <c r="O127" i="2"/>
  <c r="Q127" i="2"/>
  <c r="U147" i="2"/>
  <c r="O147" i="2"/>
  <c r="R147" i="2"/>
  <c r="Q147" i="2"/>
  <c r="T147" i="2"/>
  <c r="P147" i="2"/>
  <c r="N147" i="2"/>
  <c r="S147" i="2"/>
  <c r="S39" i="2"/>
  <c r="N39" i="2"/>
  <c r="Q39" i="2"/>
  <c r="T39" i="2"/>
  <c r="P39" i="2"/>
  <c r="O39" i="2"/>
  <c r="R39" i="2"/>
  <c r="U39" i="2"/>
  <c r="U247" i="2"/>
  <c r="P247" i="2"/>
  <c r="R247" i="2"/>
  <c r="O247" i="2"/>
  <c r="S247" i="2"/>
  <c r="Q247" i="2"/>
  <c r="N247" i="2"/>
  <c r="T247" i="2"/>
  <c r="N182" i="2"/>
  <c r="R182" i="2"/>
  <c r="Q182" i="2"/>
  <c r="P182" i="2"/>
  <c r="S182" i="2"/>
  <c r="T182" i="2"/>
  <c r="U182" i="2"/>
  <c r="O182" i="2"/>
  <c r="P197" i="2"/>
  <c r="T197" i="2"/>
  <c r="R197" i="2"/>
  <c r="N197" i="2"/>
  <c r="S197" i="2"/>
  <c r="U197" i="2"/>
  <c r="O197" i="2"/>
  <c r="Q197" i="2"/>
  <c r="U248" i="2"/>
  <c r="O248" i="2"/>
  <c r="T248" i="2"/>
  <c r="Q248" i="2"/>
  <c r="R248" i="2"/>
  <c r="S248" i="2"/>
  <c r="N248" i="2"/>
  <c r="P248" i="2"/>
  <c r="P149" i="2"/>
  <c r="S149" i="2"/>
  <c r="U149" i="2"/>
  <c r="T149" i="2"/>
  <c r="R149" i="2"/>
  <c r="O149" i="2"/>
  <c r="Q149" i="2"/>
  <c r="N149" i="2"/>
  <c r="Q155" i="2"/>
  <c r="U155" i="2"/>
  <c r="T155" i="2"/>
  <c r="R155" i="2"/>
  <c r="N155" i="2"/>
  <c r="S155" i="2"/>
  <c r="O155" i="2"/>
  <c r="P155" i="2"/>
  <c r="O73" i="2"/>
  <c r="P73" i="2"/>
  <c r="T73" i="2"/>
  <c r="Q73" i="2"/>
  <c r="U73" i="2"/>
  <c r="R73" i="2"/>
  <c r="N73" i="2"/>
  <c r="S73" i="2"/>
  <c r="O230" i="2"/>
  <c r="S230" i="2"/>
  <c r="N230" i="2"/>
  <c r="R230" i="2"/>
  <c r="P230" i="2"/>
  <c r="Q230" i="2"/>
  <c r="T230" i="2"/>
  <c r="U230" i="2"/>
  <c r="O11" i="2"/>
  <c r="P11" i="2"/>
  <c r="R11" i="2"/>
  <c r="U11" i="2"/>
  <c r="T11" i="2"/>
  <c r="S11" i="2"/>
  <c r="Q11" i="2"/>
  <c r="N11" i="2"/>
  <c r="R104" i="2"/>
  <c r="U104" i="2"/>
  <c r="N104" i="2"/>
  <c r="T104" i="2"/>
  <c r="Q104" i="2"/>
  <c r="P104" i="2"/>
  <c r="S104" i="2"/>
  <c r="O104" i="2"/>
  <c r="T227" i="2"/>
  <c r="U227" i="2"/>
  <c r="S227" i="2"/>
  <c r="O227" i="2"/>
  <c r="Q227" i="2"/>
  <c r="N227" i="2"/>
  <c r="R227" i="2"/>
  <c r="P227" i="2"/>
  <c r="X10" i="2"/>
  <c r="Y10" i="2"/>
  <c r="Z10" i="2"/>
  <c r="AA10" i="2"/>
  <c r="R215" i="2"/>
  <c r="P215" i="2"/>
  <c r="S215" i="2"/>
  <c r="O215" i="2"/>
  <c r="T215" i="2"/>
  <c r="U215" i="2"/>
  <c r="Q215" i="2"/>
  <c r="N215" i="2"/>
  <c r="R28" i="2"/>
  <c r="T28" i="2"/>
  <c r="O28" i="2"/>
  <c r="N28" i="2"/>
  <c r="Q28" i="2"/>
  <c r="P28" i="2"/>
  <c r="S28" i="2"/>
  <c r="U28" i="2"/>
  <c r="S177" i="2"/>
  <c r="U177" i="2"/>
  <c r="R177" i="2"/>
  <c r="Q177" i="2"/>
  <c r="P177" i="2"/>
  <c r="O177" i="2"/>
  <c r="T177" i="2"/>
  <c r="N177" i="2"/>
  <c r="N64" i="2"/>
  <c r="O64" i="2"/>
  <c r="S64" i="2"/>
  <c r="P64" i="2"/>
  <c r="R64" i="2"/>
  <c r="U64" i="2"/>
  <c r="Q64" i="2"/>
  <c r="T64" i="2"/>
  <c r="Q150" i="2"/>
  <c r="T150" i="2"/>
  <c r="O150" i="2"/>
  <c r="U150" i="2"/>
  <c r="S150" i="2"/>
  <c r="R150" i="2"/>
  <c r="P150" i="2"/>
  <c r="N150" i="2"/>
  <c r="P21" i="2"/>
  <c r="O21" i="2"/>
  <c r="T21" i="2"/>
  <c r="U21" i="2"/>
  <c r="R21" i="2"/>
  <c r="N21" i="2"/>
  <c r="Q21" i="2"/>
  <c r="S21" i="2"/>
  <c r="Q111" i="2"/>
  <c r="T111" i="2"/>
  <c r="N111" i="2"/>
  <c r="P111" i="2"/>
  <c r="R111" i="2"/>
  <c r="O111" i="2"/>
  <c r="S111" i="2"/>
  <c r="U111" i="2"/>
  <c r="N222" i="2"/>
  <c r="T222" i="2"/>
  <c r="Q222" i="2"/>
  <c r="U222" i="2"/>
  <c r="S222" i="2"/>
  <c r="R222" i="2"/>
  <c r="O222" i="2"/>
  <c r="P222" i="2"/>
  <c r="R133" i="2"/>
  <c r="S133" i="2"/>
  <c r="Q133" i="2"/>
  <c r="N133" i="2"/>
  <c r="U133" i="2"/>
  <c r="O133" i="2"/>
  <c r="P133" i="2"/>
  <c r="T133" i="2"/>
  <c r="R231" i="2"/>
  <c r="T231" i="2"/>
  <c r="N231" i="2"/>
  <c r="O231" i="2"/>
  <c r="Q231" i="2"/>
  <c r="U231" i="2"/>
  <c r="P231" i="2"/>
  <c r="S231" i="2"/>
  <c r="O225" i="2"/>
  <c r="S225" i="2"/>
  <c r="U225" i="2"/>
  <c r="T225" i="2"/>
  <c r="R225" i="2"/>
  <c r="Q225" i="2"/>
  <c r="P225" i="2"/>
  <c r="N225" i="2"/>
  <c r="T152" i="2"/>
  <c r="Q152" i="2"/>
  <c r="P152" i="2"/>
  <c r="S152" i="2"/>
  <c r="R152" i="2"/>
  <c r="N152" i="2"/>
  <c r="O152" i="2"/>
  <c r="U152" i="2"/>
  <c r="N126" i="2"/>
  <c r="T126" i="2"/>
  <c r="R126" i="2"/>
  <c r="Q126" i="2"/>
  <c r="U126" i="2"/>
  <c r="S126" i="2"/>
  <c r="O126" i="2"/>
  <c r="P126" i="2"/>
  <c r="P50" i="2"/>
  <c r="R50" i="2"/>
  <c r="Q50" i="2"/>
  <c r="O50" i="2"/>
  <c r="U50" i="2"/>
  <c r="T50" i="2"/>
  <c r="N50" i="2"/>
  <c r="S50" i="2"/>
  <c r="T116" i="2"/>
  <c r="U116" i="2"/>
  <c r="S116" i="2"/>
  <c r="N116" i="2"/>
  <c r="R116" i="2"/>
  <c r="P116" i="2"/>
  <c r="O116" i="2"/>
  <c r="Q116" i="2"/>
  <c r="N69" i="2"/>
  <c r="T69" i="2"/>
  <c r="O69" i="2"/>
  <c r="Q69" i="2"/>
  <c r="S69" i="2"/>
  <c r="U69" i="2"/>
  <c r="R69" i="2"/>
  <c r="P69" i="2"/>
  <c r="Q223" i="2"/>
  <c r="P223" i="2"/>
  <c r="U223" i="2"/>
  <c r="O223" i="2"/>
  <c r="N223" i="2"/>
  <c r="S223" i="2"/>
  <c r="R223" i="2"/>
  <c r="T223" i="2"/>
  <c r="T226" i="2"/>
  <c r="R226" i="2"/>
  <c r="P226" i="2"/>
  <c r="N226" i="2"/>
  <c r="U226" i="2"/>
  <c r="Q226" i="2"/>
  <c r="O226" i="2"/>
  <c r="S226" i="2"/>
  <c r="O59" i="2"/>
  <c r="Q59" i="2"/>
  <c r="S59" i="2"/>
  <c r="N59" i="2"/>
  <c r="T59" i="2"/>
  <c r="R59" i="2"/>
  <c r="U59" i="2"/>
  <c r="P59" i="2"/>
  <c r="T56" i="2"/>
  <c r="Q56" i="2"/>
  <c r="R56" i="2"/>
  <c r="N56" i="2"/>
  <c r="O56" i="2"/>
  <c r="U56" i="2"/>
  <c r="S56" i="2"/>
  <c r="P56" i="2"/>
  <c r="Q183" i="2"/>
  <c r="S183" i="2"/>
  <c r="R183" i="2"/>
  <c r="P183" i="2"/>
  <c r="N183" i="2"/>
  <c r="T183" i="2"/>
  <c r="U183" i="2"/>
  <c r="O183" i="2"/>
  <c r="Q240" i="2"/>
  <c r="U240" i="2"/>
  <c r="S240" i="2"/>
  <c r="R240" i="2"/>
  <c r="T240" i="2"/>
  <c r="P240" i="2"/>
  <c r="N240" i="2"/>
  <c r="O240" i="2"/>
  <c r="S145" i="2"/>
  <c r="U145" i="2"/>
  <c r="N145" i="2"/>
  <c r="R145" i="2"/>
  <c r="T145" i="2"/>
  <c r="O145" i="2"/>
  <c r="P145" i="2"/>
  <c r="Q145" i="2"/>
  <c r="S109" i="2"/>
  <c r="R109" i="2"/>
  <c r="Q109" i="2"/>
  <c r="T109" i="2"/>
  <c r="N109" i="2"/>
  <c r="O109" i="2"/>
  <c r="U109" i="2"/>
  <c r="P109" i="2"/>
  <c r="R16" i="2"/>
  <c r="O16" i="2"/>
  <c r="U16" i="2"/>
  <c r="S16" i="2"/>
  <c r="N16" i="2"/>
  <c r="Q16" i="2"/>
  <c r="P16" i="2"/>
  <c r="T16" i="2"/>
  <c r="Q123" i="2"/>
  <c r="U123" i="2"/>
  <c r="P123" i="2"/>
  <c r="R123" i="2"/>
  <c r="T123" i="2"/>
  <c r="O123" i="2"/>
  <c r="S123" i="2"/>
  <c r="N123" i="2"/>
  <c r="T176" i="2"/>
  <c r="U176" i="2"/>
  <c r="O176" i="2"/>
  <c r="S176" i="2"/>
  <c r="R176" i="2"/>
  <c r="Q176" i="2"/>
  <c r="N176" i="2"/>
  <c r="P176" i="2"/>
  <c r="R185" i="2"/>
  <c r="P185" i="2"/>
  <c r="O185" i="2"/>
  <c r="U185" i="2"/>
  <c r="N185" i="2"/>
  <c r="T185" i="2"/>
  <c r="S185" i="2"/>
  <c r="Q185" i="2"/>
  <c r="P58" i="2"/>
  <c r="U58" i="2"/>
  <c r="R58" i="2"/>
  <c r="O58" i="2"/>
  <c r="S58" i="2"/>
  <c r="T58" i="2"/>
  <c r="Q58" i="2"/>
  <c r="N58" i="2"/>
  <c r="N131" i="2"/>
  <c r="U131" i="2"/>
  <c r="T131" i="2"/>
  <c r="P131" i="2"/>
  <c r="S131" i="2"/>
  <c r="O131" i="2"/>
  <c r="Q131" i="2"/>
  <c r="R131" i="2"/>
  <c r="Q30" i="2"/>
  <c r="T30" i="2"/>
  <c r="S30" i="2"/>
  <c r="N30" i="2"/>
  <c r="U30" i="2"/>
  <c r="P30" i="2"/>
  <c r="O30" i="2"/>
  <c r="R30" i="2"/>
  <c r="Q42" i="2"/>
  <c r="P42" i="2"/>
  <c r="U42" i="2"/>
  <c r="O42" i="2"/>
  <c r="S42" i="2"/>
  <c r="R42" i="2"/>
  <c r="N42" i="2"/>
  <c r="T42" i="2"/>
  <c r="AA9" i="2"/>
  <c r="Z9" i="2"/>
  <c r="Y9" i="2"/>
  <c r="X9" i="2"/>
  <c r="N174" i="2"/>
  <c r="U174" i="2"/>
  <c r="O174" i="2"/>
  <c r="T174" i="2"/>
  <c r="R174" i="2"/>
  <c r="P174" i="2"/>
  <c r="Q174" i="2"/>
  <c r="S174" i="2"/>
  <c r="U117" i="2"/>
  <c r="Q117" i="2"/>
  <c r="S117" i="2"/>
  <c r="N117" i="2"/>
  <c r="T117" i="2"/>
  <c r="P117" i="2"/>
  <c r="O117" i="2"/>
  <c r="R117" i="2"/>
  <c r="R19" i="2"/>
  <c r="O19" i="2"/>
  <c r="N19" i="2"/>
  <c r="T19" i="2"/>
  <c r="P19" i="2"/>
  <c r="U19" i="2"/>
  <c r="Q19" i="2"/>
  <c r="S19" i="2"/>
  <c r="P35" i="2"/>
  <c r="U35" i="2"/>
  <c r="Q35" i="2"/>
  <c r="S35" i="2"/>
  <c r="N35" i="2"/>
  <c r="T35" i="2"/>
  <c r="O35" i="2"/>
  <c r="R35" i="2"/>
  <c r="N51" i="2"/>
  <c r="O51" i="2"/>
  <c r="Q51" i="2"/>
  <c r="P51" i="2"/>
  <c r="U51" i="2"/>
  <c r="T51" i="2"/>
  <c r="R51" i="2"/>
  <c r="S51" i="2"/>
  <c r="U95" i="2"/>
  <c r="Q95" i="2"/>
  <c r="P95" i="2"/>
  <c r="O95" i="2"/>
  <c r="R95" i="2"/>
  <c r="S95" i="2"/>
  <c r="N95" i="2"/>
  <c r="T95" i="2"/>
  <c r="R92" i="2"/>
  <c r="U92" i="2"/>
  <c r="O92" i="2"/>
  <c r="N92" i="2"/>
  <c r="T92" i="2"/>
  <c r="Q92" i="2"/>
  <c r="P92" i="2"/>
  <c r="S92" i="2"/>
  <c r="O169" i="2"/>
  <c r="U169" i="2"/>
  <c r="S169" i="2"/>
  <c r="P169" i="2"/>
  <c r="Q169" i="2"/>
  <c r="T169" i="2"/>
  <c r="R169" i="2"/>
  <c r="N169" i="2"/>
  <c r="T7" i="2"/>
  <c r="P7" i="2"/>
  <c r="U7" i="2"/>
  <c r="S7" i="2"/>
  <c r="N7" i="2"/>
  <c r="O7" i="2"/>
  <c r="R7" i="2"/>
  <c r="Q7" i="2"/>
  <c r="R8" i="2"/>
  <c r="T8" i="2"/>
  <c r="S8" i="2"/>
  <c r="U8" i="2"/>
  <c r="O8" i="2"/>
  <c r="N8" i="2"/>
  <c r="P8" i="2"/>
  <c r="Q8" i="2"/>
  <c r="Q159" i="2"/>
  <c r="R159" i="2"/>
  <c r="U159" i="2"/>
  <c r="N159" i="2"/>
  <c r="S159" i="2"/>
  <c r="O159" i="2"/>
  <c r="P159" i="2"/>
  <c r="T159" i="2"/>
  <c r="N66" i="2"/>
  <c r="R66" i="2"/>
  <c r="P66" i="2"/>
  <c r="O66" i="2"/>
  <c r="S66" i="2"/>
  <c r="Q66" i="2"/>
  <c r="T66" i="2"/>
  <c r="U66" i="2"/>
  <c r="T112" i="2"/>
  <c r="N112" i="2"/>
  <c r="R112" i="2"/>
  <c r="U112" i="2"/>
  <c r="P112" i="2"/>
  <c r="S112" i="2"/>
  <c r="Q112" i="2"/>
  <c r="O112" i="2"/>
  <c r="Q224" i="2"/>
  <c r="O224" i="2"/>
  <c r="T224" i="2"/>
  <c r="N224" i="2"/>
  <c r="R224" i="2"/>
  <c r="U224" i="2"/>
  <c r="S224" i="2"/>
  <c r="P224" i="2"/>
  <c r="O252" i="2"/>
  <c r="U252" i="2"/>
  <c r="R252" i="2"/>
  <c r="S252" i="2"/>
  <c r="T252" i="2"/>
  <c r="N252" i="2"/>
  <c r="P252" i="2"/>
  <c r="Q252" i="2"/>
  <c r="P139" i="2"/>
  <c r="Q139" i="2"/>
  <c r="R139" i="2"/>
  <c r="O139" i="2"/>
  <c r="U139" i="2"/>
  <c r="N139" i="2"/>
  <c r="T139" i="2"/>
  <c r="S139" i="2"/>
  <c r="O26" i="2"/>
  <c r="P26" i="2"/>
  <c r="T26" i="2"/>
  <c r="R26" i="2"/>
  <c r="N26" i="2"/>
  <c r="S26" i="2"/>
  <c r="U26" i="2"/>
  <c r="Q26" i="2"/>
  <c r="S163" i="2"/>
  <c r="P163" i="2"/>
  <c r="N163" i="2"/>
  <c r="T163" i="2"/>
  <c r="R163" i="2"/>
  <c r="Q163" i="2"/>
  <c r="O163" i="2"/>
  <c r="U163" i="2"/>
  <c r="N102" i="2"/>
  <c r="P102" i="2"/>
  <c r="R102" i="2"/>
  <c r="U102" i="2"/>
  <c r="T102" i="2"/>
  <c r="O102" i="2"/>
  <c r="Q102" i="2"/>
  <c r="S102" i="2"/>
  <c r="R196" i="2"/>
  <c r="P196" i="2"/>
  <c r="S196" i="2"/>
  <c r="N196" i="2"/>
  <c r="O196" i="2"/>
  <c r="Q196" i="2"/>
  <c r="U196" i="2"/>
  <c r="T196" i="2"/>
  <c r="O203" i="2"/>
  <c r="U203" i="2"/>
  <c r="T203" i="2"/>
  <c r="Q203" i="2"/>
  <c r="R203" i="2"/>
  <c r="N203" i="2"/>
  <c r="S203" i="2"/>
  <c r="P203" i="2"/>
  <c r="T106" i="2"/>
  <c r="O106" i="2"/>
  <c r="S106" i="2"/>
  <c r="P106" i="2"/>
  <c r="Q106" i="2"/>
  <c r="R106" i="2"/>
  <c r="U106" i="2"/>
  <c r="N106" i="2"/>
  <c r="Q125" i="2"/>
  <c r="R125" i="2"/>
  <c r="U125" i="2"/>
  <c r="S125" i="2"/>
  <c r="O125" i="2"/>
  <c r="T125" i="2"/>
  <c r="N125" i="2"/>
  <c r="P125" i="2"/>
  <c r="S153" i="2"/>
  <c r="R153" i="2"/>
  <c r="P153" i="2"/>
  <c r="O153" i="2"/>
  <c r="U153" i="2"/>
  <c r="T153" i="2"/>
  <c r="Q153" i="2"/>
  <c r="N153" i="2"/>
  <c r="P236" i="2"/>
  <c r="T236" i="2"/>
  <c r="O236" i="2"/>
  <c r="Q236" i="2"/>
  <c r="N236" i="2"/>
  <c r="R236" i="2"/>
  <c r="U236" i="2"/>
  <c r="S236" i="2"/>
  <c r="O168" i="2"/>
  <c r="T168" i="2"/>
  <c r="R168" i="2"/>
  <c r="U168" i="2"/>
  <c r="P168" i="2"/>
  <c r="S168" i="2"/>
  <c r="N168" i="2"/>
  <c r="Q168" i="2"/>
  <c r="R212" i="2"/>
  <c r="Q212" i="2"/>
  <c r="O212" i="2"/>
  <c r="T212" i="2"/>
  <c r="N212" i="2"/>
  <c r="P212" i="2"/>
  <c r="U212" i="2"/>
  <c r="S212" i="2"/>
  <c r="Q88" i="2"/>
  <c r="T88" i="2"/>
  <c r="R88" i="2"/>
  <c r="S88" i="2"/>
  <c r="U88" i="2"/>
  <c r="N88" i="2"/>
  <c r="O88" i="2"/>
  <c r="P88" i="2"/>
  <c r="N61" i="2"/>
  <c r="O61" i="2"/>
  <c r="Q61" i="2"/>
  <c r="R61" i="2"/>
  <c r="U61" i="2"/>
  <c r="S61" i="2"/>
  <c r="P61" i="2"/>
  <c r="T61" i="2"/>
  <c r="P162" i="2"/>
  <c r="N162" i="2"/>
  <c r="T162" i="2"/>
  <c r="S162" i="2"/>
  <c r="Q162" i="2"/>
  <c r="U162" i="2"/>
  <c r="R162" i="2"/>
  <c r="O162" i="2"/>
  <c r="O218" i="2"/>
  <c r="R218" i="2"/>
  <c r="S218" i="2"/>
  <c r="U218" i="2"/>
  <c r="T218" i="2"/>
  <c r="N218" i="2"/>
  <c r="Q218" i="2"/>
  <c r="P218" i="2"/>
  <c r="R60" i="2"/>
  <c r="S60" i="2"/>
  <c r="T60" i="2"/>
  <c r="N60" i="2"/>
  <c r="U60" i="2"/>
  <c r="O60" i="2"/>
  <c r="P60" i="2"/>
  <c r="Q60" i="2"/>
  <c r="P208" i="2"/>
  <c r="R208" i="2"/>
  <c r="Q208" i="2"/>
  <c r="S208" i="2"/>
  <c r="N208" i="2"/>
  <c r="U208" i="2"/>
  <c r="O208" i="2"/>
  <c r="T208" i="2"/>
  <c r="R44" i="2"/>
  <c r="O44" i="2"/>
  <c r="T44" i="2"/>
  <c r="U44" i="2"/>
  <c r="P44" i="2"/>
  <c r="N44" i="2"/>
  <c r="S44" i="2"/>
  <c r="Q44" i="2"/>
  <c r="N217" i="2"/>
  <c r="R217" i="2"/>
  <c r="O217" i="2"/>
  <c r="Q217" i="2"/>
  <c r="T217" i="2"/>
  <c r="S217" i="2"/>
  <c r="U217" i="2"/>
  <c r="P217" i="2"/>
  <c r="Q261" i="2"/>
  <c r="T261" i="2"/>
  <c r="P261" i="2"/>
  <c r="S261" i="2"/>
  <c r="N261" i="2"/>
  <c r="U261" i="2"/>
  <c r="R261" i="2"/>
  <c r="O261" i="2"/>
  <c r="T101" i="2"/>
  <c r="S101" i="2"/>
  <c r="O101" i="2"/>
  <c r="R101" i="2"/>
  <c r="P101" i="2"/>
  <c r="N101" i="2"/>
  <c r="Q101" i="2"/>
  <c r="U101" i="2"/>
  <c r="P84" i="2"/>
  <c r="R84" i="2"/>
  <c r="O84" i="2"/>
  <c r="T84" i="2"/>
  <c r="U84" i="2"/>
  <c r="Q84" i="2"/>
  <c r="N84" i="2"/>
  <c r="S84" i="2"/>
  <c r="O172" i="2"/>
  <c r="S172" i="2"/>
  <c r="P172" i="2"/>
  <c r="Q172" i="2"/>
  <c r="N172" i="2"/>
  <c r="U172" i="2"/>
  <c r="T172" i="2"/>
  <c r="R172" i="2"/>
  <c r="Q121" i="2"/>
  <c r="T121" i="2"/>
  <c r="N121" i="2"/>
  <c r="P121" i="2"/>
  <c r="R121" i="2"/>
  <c r="S121" i="2"/>
  <c r="U121" i="2"/>
  <c r="O121" i="2"/>
  <c r="P157" i="2"/>
  <c r="O157" i="2"/>
  <c r="Q157" i="2"/>
  <c r="S157" i="2"/>
  <c r="U157" i="2"/>
  <c r="R157" i="2"/>
  <c r="N157" i="2"/>
  <c r="T157" i="2"/>
  <c r="O82" i="2"/>
  <c r="Q82" i="2"/>
  <c r="N82" i="2"/>
  <c r="T82" i="2"/>
  <c r="U82" i="2"/>
  <c r="P82" i="2"/>
  <c r="S82" i="2"/>
  <c r="R82" i="2"/>
  <c r="U79" i="2"/>
  <c r="Q79" i="2"/>
  <c r="P79" i="2"/>
  <c r="S79" i="2"/>
  <c r="O79" i="2"/>
  <c r="N79" i="2"/>
  <c r="R79" i="2"/>
  <c r="T79" i="2"/>
  <c r="R130" i="2"/>
  <c r="S130" i="2"/>
  <c r="Q130" i="2"/>
  <c r="T130" i="2"/>
  <c r="O130" i="2"/>
  <c r="U130" i="2"/>
  <c r="N130" i="2"/>
  <c r="P130" i="2"/>
  <c r="N97" i="2"/>
  <c r="O97" i="2"/>
  <c r="P97" i="2"/>
  <c r="R97" i="2"/>
  <c r="U97" i="2"/>
  <c r="T97" i="2"/>
  <c r="S97" i="2"/>
  <c r="Q97" i="2"/>
  <c r="R210" i="2"/>
  <c r="P210" i="2"/>
  <c r="T210" i="2"/>
  <c r="Q210" i="2"/>
  <c r="U210" i="2"/>
  <c r="N210" i="2"/>
  <c r="O210" i="2"/>
  <c r="S210" i="2"/>
  <c r="T85" i="2"/>
  <c r="N85" i="2"/>
  <c r="S85" i="2"/>
  <c r="P85" i="2"/>
  <c r="Q85" i="2"/>
  <c r="O85" i="2"/>
  <c r="U85" i="2"/>
  <c r="R85" i="2"/>
  <c r="O199" i="2"/>
  <c r="R199" i="2"/>
  <c r="S199" i="2"/>
  <c r="P199" i="2"/>
  <c r="T199" i="2"/>
  <c r="U199" i="2"/>
  <c r="Q199" i="2"/>
  <c r="N199" i="2"/>
  <c r="Q29" i="2"/>
  <c r="P29" i="2"/>
  <c r="O29" i="2"/>
  <c r="R29" i="2"/>
  <c r="S29" i="2"/>
  <c r="T29" i="2"/>
  <c r="U29" i="2"/>
  <c r="N29" i="2"/>
  <c r="U93" i="2"/>
  <c r="O93" i="2"/>
  <c r="P93" i="2"/>
  <c r="Q93" i="2"/>
  <c r="N93" i="2"/>
  <c r="S93" i="2"/>
  <c r="T93" i="2"/>
  <c r="R93" i="2"/>
  <c r="N17" i="2"/>
  <c r="S17" i="2"/>
  <c r="U17" i="2"/>
  <c r="P17" i="2"/>
  <c r="R17" i="2"/>
  <c r="O17" i="2"/>
  <c r="T17" i="2"/>
  <c r="Q17" i="2"/>
  <c r="Q78" i="2"/>
  <c r="T78" i="2"/>
  <c r="P78" i="2"/>
  <c r="R78" i="2"/>
  <c r="N78" i="2"/>
  <c r="U78" i="2"/>
  <c r="S78" i="2"/>
  <c r="O78" i="2"/>
  <c r="R249" i="2"/>
  <c r="O249" i="2"/>
  <c r="P249" i="2"/>
  <c r="N249" i="2"/>
  <c r="T249" i="2"/>
  <c r="S249" i="2"/>
  <c r="Q249" i="2"/>
  <c r="U249" i="2"/>
  <c r="T211" i="2"/>
  <c r="R211" i="2"/>
  <c r="O211" i="2"/>
  <c r="Q211" i="2"/>
  <c r="S211" i="2"/>
  <c r="P211" i="2"/>
  <c r="N211" i="2"/>
  <c r="U211" i="2"/>
  <c r="S181" i="2"/>
  <c r="P181" i="2"/>
  <c r="N181" i="2"/>
  <c r="Q181" i="2"/>
  <c r="U181" i="2"/>
  <c r="T181" i="2"/>
  <c r="O181" i="2"/>
  <c r="R181" i="2"/>
  <c r="U141" i="2"/>
  <c r="P141" i="2"/>
  <c r="N141" i="2"/>
  <c r="Q141" i="2"/>
  <c r="S141" i="2"/>
  <c r="R141" i="2"/>
  <c r="T141" i="2"/>
  <c r="O141" i="2"/>
  <c r="T41" i="2"/>
  <c r="P41" i="2"/>
  <c r="Q41" i="2"/>
  <c r="O41" i="2"/>
  <c r="R41" i="2"/>
  <c r="U41" i="2"/>
  <c r="S41" i="2"/>
  <c r="N41" i="2"/>
  <c r="U188" i="2"/>
  <c r="N188" i="2"/>
  <c r="O188" i="2"/>
  <c r="R188" i="2"/>
  <c r="P188" i="2"/>
  <c r="S188" i="2"/>
  <c r="Q188" i="2"/>
  <c r="T188" i="2"/>
  <c r="R154" i="2"/>
  <c r="O154" i="2"/>
  <c r="N154" i="2"/>
  <c r="Q154" i="2"/>
  <c r="P154" i="2"/>
  <c r="S154" i="2"/>
  <c r="U154" i="2"/>
  <c r="T154" i="2"/>
  <c r="N216" i="2"/>
  <c r="S216" i="2"/>
  <c r="P216" i="2"/>
  <c r="T216" i="2"/>
  <c r="Q216" i="2"/>
  <c r="U216" i="2"/>
  <c r="R216" i="2"/>
  <c r="O216" i="2"/>
  <c r="U13" i="2"/>
  <c r="R13" i="2"/>
  <c r="T13" i="2"/>
  <c r="O13" i="2"/>
  <c r="S13" i="2"/>
  <c r="P13" i="2"/>
  <c r="N13" i="2"/>
  <c r="Q13" i="2"/>
  <c r="S235" i="2"/>
  <c r="T235" i="2"/>
  <c r="R235" i="2"/>
  <c r="P235" i="2"/>
  <c r="N235" i="2"/>
  <c r="U235" i="2"/>
  <c r="Q235" i="2"/>
  <c r="O235" i="2"/>
  <c r="N15" i="2"/>
  <c r="S15" i="2"/>
  <c r="O15" i="2"/>
  <c r="U15" i="2"/>
  <c r="R15" i="2"/>
  <c r="P15" i="2"/>
  <c r="T15" i="2"/>
  <c r="Q15" i="2"/>
  <c r="O122" i="2"/>
  <c r="S122" i="2"/>
  <c r="P122" i="2"/>
  <c r="R122" i="2"/>
  <c r="T122" i="2"/>
  <c r="U122" i="2"/>
  <c r="N122" i="2"/>
  <c r="Q122" i="2"/>
  <c r="R214" i="2"/>
  <c r="U214" i="2"/>
  <c r="T214" i="2"/>
  <c r="N214" i="2"/>
  <c r="P214" i="2"/>
  <c r="Q214" i="2"/>
  <c r="O214" i="2"/>
  <c r="S214" i="2"/>
  <c r="Z18" i="2"/>
  <c r="AA18" i="2"/>
  <c r="X18" i="2"/>
  <c r="Y18" i="2"/>
  <c r="T221" i="2"/>
  <c r="O221" i="2"/>
  <c r="R221" i="2"/>
  <c r="Q221" i="2"/>
  <c r="S221" i="2"/>
  <c r="N221" i="2"/>
  <c r="U221" i="2"/>
  <c r="P221" i="2"/>
  <c r="N89" i="2"/>
  <c r="T89" i="2"/>
  <c r="Q89" i="2"/>
  <c r="O89" i="2"/>
  <c r="S89" i="2"/>
  <c r="R89" i="2"/>
  <c r="P89" i="2"/>
  <c r="U89" i="2"/>
  <c r="U136" i="2"/>
  <c r="T136" i="2"/>
  <c r="O136" i="2"/>
  <c r="R136" i="2"/>
  <c r="S136" i="2"/>
  <c r="P136" i="2"/>
  <c r="Q136" i="2"/>
  <c r="N136" i="2"/>
  <c r="O119" i="2"/>
  <c r="Q119" i="2"/>
  <c r="S119" i="2"/>
  <c r="T119" i="2"/>
  <c r="U119" i="2"/>
  <c r="N119" i="2"/>
  <c r="R119" i="2"/>
  <c r="P119" i="2"/>
  <c r="P201" i="2"/>
  <c r="N201" i="2"/>
  <c r="Q201" i="2"/>
  <c r="O201" i="2"/>
  <c r="S201" i="2"/>
  <c r="T201" i="2"/>
  <c r="R201" i="2"/>
  <c r="U201" i="2"/>
  <c r="Q164" i="2"/>
  <c r="T164" i="2"/>
  <c r="S164" i="2"/>
  <c r="P164" i="2"/>
  <c r="R164" i="2"/>
  <c r="U164" i="2"/>
  <c r="N164" i="2"/>
  <c r="O164" i="2"/>
  <c r="S80" i="2"/>
  <c r="P80" i="2"/>
  <c r="Q80" i="2"/>
  <c r="R80" i="2"/>
  <c r="U80" i="2"/>
  <c r="O80" i="2"/>
  <c r="T80" i="2"/>
  <c r="N80" i="2"/>
  <c r="Q114" i="2"/>
  <c r="S114" i="2"/>
  <c r="N114" i="2"/>
  <c r="R114" i="2"/>
  <c r="T114" i="2"/>
  <c r="U114" i="2"/>
  <c r="O114" i="2"/>
  <c r="P114" i="2"/>
  <c r="N134" i="2"/>
  <c r="R134" i="2"/>
  <c r="T134" i="2"/>
  <c r="S134" i="2"/>
  <c r="Q134" i="2"/>
  <c r="U134" i="2"/>
  <c r="O134" i="2"/>
  <c r="P134" i="2"/>
  <c r="U38" i="2"/>
  <c r="R38" i="2"/>
  <c r="Q38" i="2"/>
  <c r="O38" i="2"/>
  <c r="N38" i="2"/>
  <c r="P38" i="2"/>
  <c r="S38" i="2"/>
  <c r="T38" i="2"/>
  <c r="N33" i="2"/>
  <c r="O33" i="2"/>
  <c r="U33" i="2"/>
  <c r="R33" i="2"/>
  <c r="S33" i="2"/>
  <c r="P33" i="2"/>
  <c r="T33" i="2"/>
  <c r="Q33" i="2"/>
  <c r="S37" i="2"/>
  <c r="N37" i="2"/>
  <c r="U37" i="2"/>
  <c r="O37" i="2"/>
  <c r="Q37" i="2"/>
  <c r="R37" i="2"/>
  <c r="T37" i="2"/>
  <c r="P37" i="2"/>
  <c r="T171" i="2"/>
  <c r="O171" i="2"/>
  <c r="Q171" i="2"/>
  <c r="R171" i="2"/>
  <c r="S171" i="2"/>
  <c r="U171" i="2"/>
  <c r="P171" i="2"/>
  <c r="N171" i="2"/>
  <c r="P137" i="2"/>
  <c r="O137" i="2"/>
  <c r="S137" i="2"/>
  <c r="N137" i="2"/>
  <c r="Q137" i="2"/>
  <c r="U137" i="2"/>
  <c r="T137" i="2"/>
  <c r="R137" i="2"/>
  <c r="R144" i="2"/>
  <c r="P144" i="2"/>
  <c r="Q144" i="2"/>
  <c r="T144" i="2"/>
  <c r="S144" i="2"/>
  <c r="O144" i="2"/>
  <c r="N144" i="2"/>
  <c r="U144" i="2"/>
  <c r="O36" i="2"/>
  <c r="N36" i="2"/>
  <c r="Q36" i="2"/>
  <c r="S36" i="2"/>
  <c r="U36" i="2"/>
  <c r="R36" i="2"/>
  <c r="T36" i="2"/>
  <c r="P36" i="2"/>
  <c r="T255" i="2"/>
  <c r="R255" i="2"/>
  <c r="U255" i="2"/>
  <c r="Q255" i="2"/>
  <c r="O255" i="2"/>
  <c r="N255" i="2"/>
  <c r="S255" i="2"/>
  <c r="P255" i="2"/>
  <c r="T253" i="2"/>
  <c r="P253" i="2"/>
  <c r="O253" i="2"/>
  <c r="Q253" i="2"/>
  <c r="U253" i="2"/>
  <c r="R253" i="2"/>
  <c r="S253" i="2"/>
  <c r="N253" i="2"/>
  <c r="Q68" i="2"/>
  <c r="R68" i="2"/>
  <c r="T68" i="2"/>
  <c r="O68" i="2"/>
  <c r="N68" i="2"/>
  <c r="U68" i="2"/>
  <c r="P68" i="2"/>
  <c r="S68" i="2"/>
  <c r="T191" i="2"/>
  <c r="U191" i="2"/>
  <c r="S191" i="2"/>
  <c r="R191" i="2"/>
  <c r="O191" i="2"/>
  <c r="P191" i="2"/>
  <c r="Q191" i="2"/>
  <c r="N191" i="2"/>
  <c r="U187" i="2"/>
  <c r="O187" i="2"/>
  <c r="S187" i="2"/>
  <c r="R187" i="2"/>
  <c r="P187" i="2"/>
  <c r="N187" i="2"/>
  <c r="T187" i="2"/>
  <c r="Q187" i="2"/>
  <c r="Q166" i="2"/>
  <c r="N166" i="2"/>
  <c r="O166" i="2"/>
  <c r="P166" i="2"/>
  <c r="R166" i="2"/>
  <c r="S166" i="2"/>
  <c r="U166" i="2"/>
  <c r="T166" i="2"/>
  <c r="T213" i="2"/>
  <c r="R213" i="2"/>
  <c r="Q213" i="2"/>
  <c r="P213" i="2"/>
  <c r="O213" i="2"/>
  <c r="S213" i="2"/>
  <c r="N213" i="2"/>
  <c r="U213" i="2"/>
  <c r="T242" i="2"/>
  <c r="U242" i="2"/>
  <c r="O242" i="2"/>
  <c r="Q242" i="2"/>
  <c r="R242" i="2"/>
  <c r="S242" i="2"/>
  <c r="N242" i="2"/>
  <c r="P242" i="2"/>
  <c r="R193" i="2"/>
  <c r="N193" i="2"/>
  <c r="T193" i="2"/>
  <c r="P193" i="2"/>
  <c r="O193" i="2"/>
  <c r="S193" i="2"/>
  <c r="U193" i="2"/>
  <c r="Q193" i="2"/>
  <c r="Y12" i="2"/>
  <c r="AA12" i="2"/>
  <c r="X12" i="2"/>
  <c r="Z12" i="2"/>
  <c r="S142" i="2"/>
  <c r="O142" i="2"/>
  <c r="T142" i="2"/>
  <c r="U142" i="2"/>
  <c r="R142" i="2"/>
  <c r="Q142" i="2"/>
  <c r="P142" i="2"/>
  <c r="N142" i="2"/>
  <c r="Y8" i="2"/>
  <c r="Z8" i="2"/>
  <c r="AA8" i="2"/>
  <c r="X8" i="2"/>
  <c r="P100" i="2"/>
  <c r="R100" i="2"/>
  <c r="O100" i="2"/>
  <c r="Q100" i="2"/>
  <c r="U100" i="2"/>
  <c r="T100" i="2"/>
  <c r="N100" i="2"/>
  <c r="S100" i="2"/>
  <c r="R81" i="2"/>
  <c r="Q81" i="2"/>
  <c r="T81" i="2"/>
  <c r="N81" i="2"/>
  <c r="S81" i="2"/>
  <c r="O81" i="2"/>
  <c r="P81" i="2"/>
  <c r="U81" i="2"/>
  <c r="S52" i="2"/>
  <c r="Q52" i="2"/>
  <c r="O52" i="2"/>
  <c r="T52" i="2"/>
  <c r="N52" i="2"/>
  <c r="R52" i="2"/>
  <c r="P52" i="2"/>
  <c r="U52" i="2"/>
  <c r="U229" i="2"/>
  <c r="Q229" i="2"/>
  <c r="S229" i="2"/>
  <c r="T229" i="2"/>
  <c r="N229" i="2"/>
  <c r="O229" i="2"/>
  <c r="R229" i="2"/>
  <c r="P229" i="2"/>
  <c r="S83" i="2"/>
  <c r="P83" i="2"/>
  <c r="Q83" i="2"/>
  <c r="N83" i="2"/>
  <c r="O83" i="2"/>
  <c r="R83" i="2"/>
  <c r="U83" i="2"/>
  <c r="T83" i="2"/>
  <c r="O128" i="2"/>
  <c r="P128" i="2"/>
  <c r="Q128" i="2"/>
  <c r="S128" i="2"/>
  <c r="N128" i="2"/>
  <c r="R128" i="2"/>
  <c r="U128" i="2"/>
  <c r="T128" i="2"/>
  <c r="T49" i="2"/>
  <c r="U49" i="2"/>
  <c r="P49" i="2"/>
  <c r="O49" i="2"/>
  <c r="R49" i="2"/>
  <c r="N49" i="2"/>
  <c r="Q49" i="2"/>
  <c r="S49" i="2"/>
  <c r="Q180" i="2"/>
  <c r="U180" i="2"/>
  <c r="R180" i="2"/>
  <c r="S180" i="2"/>
  <c r="N180" i="2"/>
  <c r="O180" i="2"/>
  <c r="T180" i="2"/>
  <c r="P180" i="2"/>
  <c r="N175" i="2"/>
  <c r="S175" i="2"/>
  <c r="R175" i="2"/>
  <c r="T175" i="2"/>
  <c r="O175" i="2"/>
  <c r="Q175" i="2"/>
  <c r="U175" i="2"/>
  <c r="P175" i="2"/>
  <c r="O14" i="2"/>
  <c r="P14" i="2"/>
  <c r="Q14" i="2"/>
  <c r="T14" i="2"/>
  <c r="U14" i="2"/>
  <c r="R14" i="2"/>
  <c r="N14" i="2"/>
  <c r="S14" i="2"/>
  <c r="N156" i="2"/>
  <c r="O156" i="2"/>
  <c r="U156" i="2"/>
  <c r="Q156" i="2"/>
  <c r="R156" i="2"/>
  <c r="S156" i="2"/>
  <c r="P156" i="2"/>
  <c r="T156" i="2"/>
  <c r="P72" i="2"/>
  <c r="S72" i="2"/>
  <c r="R72" i="2"/>
  <c r="U72" i="2"/>
  <c r="O72" i="2"/>
  <c r="T72" i="2"/>
  <c r="N72" i="2"/>
  <c r="Q72" i="2"/>
  <c r="T118" i="2"/>
  <c r="N118" i="2"/>
  <c r="O118" i="2"/>
  <c r="Q118" i="2"/>
  <c r="S118" i="2"/>
  <c r="R118" i="2"/>
  <c r="U118" i="2"/>
  <c r="P118" i="2"/>
  <c r="N146" i="2"/>
  <c r="U146" i="2"/>
  <c r="Q146" i="2"/>
  <c r="S146" i="2"/>
  <c r="P146" i="2"/>
  <c r="T146" i="2"/>
  <c r="O146" i="2"/>
  <c r="R146" i="2"/>
  <c r="Q47" i="2"/>
  <c r="O47" i="2"/>
  <c r="N47" i="2"/>
  <c r="S47" i="2"/>
  <c r="P47" i="2"/>
  <c r="T47" i="2"/>
  <c r="R47" i="2"/>
  <c r="U47" i="2"/>
  <c r="Z14" i="2"/>
  <c r="Y14" i="2"/>
  <c r="AA14" i="2"/>
  <c r="X14" i="2"/>
  <c r="P173" i="2"/>
  <c r="T173" i="2"/>
  <c r="S173" i="2"/>
  <c r="R173" i="2"/>
  <c r="Q173" i="2"/>
  <c r="O173" i="2"/>
  <c r="N173" i="2"/>
  <c r="U173" i="2"/>
  <c r="O237" i="2"/>
  <c r="T237" i="2"/>
  <c r="Q237" i="2"/>
  <c r="N237" i="2"/>
  <c r="P237" i="2"/>
  <c r="R237" i="2"/>
  <c r="S237" i="2"/>
  <c r="U237" i="2"/>
  <c r="X11" i="2"/>
  <c r="AA11" i="2"/>
  <c r="Z11" i="2"/>
  <c r="Y11" i="2"/>
  <c r="Y20" i="2"/>
  <c r="AA20" i="2"/>
  <c r="X20" i="2"/>
  <c r="Z20" i="2"/>
  <c r="P195" i="2"/>
  <c r="O195" i="2"/>
  <c r="S195" i="2"/>
  <c r="T195" i="2"/>
  <c r="R195" i="2"/>
  <c r="U195" i="2"/>
  <c r="Q195" i="2"/>
  <c r="N195" i="2"/>
  <c r="Z15" i="2"/>
  <c r="AA15" i="2"/>
  <c r="X15" i="2"/>
  <c r="Y15" i="2"/>
  <c r="U32" i="2"/>
  <c r="O32" i="2"/>
  <c r="R32" i="2"/>
  <c r="T32" i="2"/>
  <c r="P32" i="2"/>
  <c r="N32" i="2"/>
  <c r="S32" i="2"/>
  <c r="Q32" i="2"/>
  <c r="O260" i="2"/>
  <c r="T260" i="2"/>
  <c r="N260" i="2"/>
  <c r="P260" i="2"/>
  <c r="Q260" i="2"/>
  <c r="U260" i="2"/>
  <c r="S260" i="2"/>
  <c r="R260" i="2"/>
  <c r="S250" i="2"/>
  <c r="Q250" i="2"/>
  <c r="O250" i="2"/>
  <c r="U250" i="2"/>
  <c r="P250" i="2"/>
  <c r="R250" i="2"/>
  <c r="T250" i="2"/>
  <c r="N250" i="2"/>
  <c r="R65" i="2"/>
  <c r="U65" i="2"/>
  <c r="S65" i="2"/>
  <c r="T65" i="2"/>
  <c r="Q65" i="2"/>
  <c r="P65" i="2"/>
  <c r="O65" i="2"/>
  <c r="N65" i="2"/>
  <c r="P71" i="2"/>
  <c r="N71" i="2"/>
  <c r="U71" i="2"/>
  <c r="O71" i="2"/>
  <c r="R71" i="2"/>
  <c r="Q71" i="2"/>
  <c r="S71" i="2"/>
  <c r="T71" i="2"/>
  <c r="P202" i="2"/>
  <c r="R202" i="2"/>
  <c r="T202" i="2"/>
  <c r="S202" i="2"/>
  <c r="O202" i="2"/>
  <c r="U202" i="2"/>
  <c r="N202" i="2"/>
  <c r="Q202" i="2"/>
  <c r="Y21" i="2"/>
  <c r="Z21" i="2"/>
  <c r="AA21" i="2"/>
  <c r="X21" i="2"/>
  <c r="T91" i="2"/>
  <c r="P91" i="2"/>
  <c r="N91" i="2"/>
  <c r="S91" i="2"/>
  <c r="O91" i="2"/>
  <c r="R91" i="2"/>
  <c r="U91" i="2"/>
  <c r="Q91" i="2"/>
  <c r="T54" i="2"/>
  <c r="R54" i="2"/>
  <c r="Q54" i="2"/>
  <c r="O54" i="2"/>
  <c r="N54" i="2"/>
  <c r="S54" i="2"/>
  <c r="P54" i="2"/>
  <c r="U54" i="2"/>
  <c r="N206" i="2"/>
  <c r="S206" i="2"/>
  <c r="P206" i="2"/>
  <c r="Q206" i="2"/>
  <c r="O206" i="2"/>
  <c r="U206" i="2"/>
  <c r="T206" i="2"/>
  <c r="R206" i="2"/>
  <c r="S170" i="2"/>
  <c r="O170" i="2"/>
  <c r="T170" i="2"/>
  <c r="R170" i="2"/>
  <c r="N170" i="2"/>
  <c r="U170" i="2"/>
  <c r="P170" i="2"/>
  <c r="Q170" i="2"/>
  <c r="R239" i="2"/>
  <c r="T239" i="2"/>
  <c r="P239" i="2"/>
  <c r="S239" i="2"/>
  <c r="U239" i="2"/>
  <c r="Q239" i="2"/>
  <c r="N239" i="2"/>
  <c r="O239" i="2"/>
  <c r="O232" i="2"/>
  <c r="S232" i="2"/>
  <c r="Q232" i="2"/>
  <c r="N232" i="2"/>
  <c r="R232" i="2"/>
  <c r="T232" i="2"/>
  <c r="P232" i="2"/>
  <c r="U232" i="2"/>
  <c r="S161" i="2"/>
  <c r="U161" i="2"/>
  <c r="R161" i="2"/>
  <c r="P161" i="2"/>
  <c r="N161" i="2"/>
  <c r="O161" i="2"/>
  <c r="Q161" i="2"/>
  <c r="T161" i="2"/>
  <c r="T70" i="2"/>
  <c r="N70" i="2"/>
  <c r="U70" i="2"/>
  <c r="Q70" i="2"/>
  <c r="O70" i="2"/>
  <c r="R70" i="2"/>
  <c r="S70" i="2"/>
  <c r="P70" i="2"/>
  <c r="N20" i="2"/>
  <c r="O20" i="2"/>
  <c r="T20" i="2"/>
  <c r="P20" i="2"/>
  <c r="S20" i="2"/>
  <c r="U20" i="2"/>
  <c r="R20" i="2"/>
  <c r="Q20" i="2"/>
  <c r="T245" i="2"/>
  <c r="N245" i="2"/>
  <c r="Q245" i="2"/>
  <c r="U245" i="2"/>
  <c r="S245" i="2"/>
  <c r="O245" i="2"/>
  <c r="R245" i="2"/>
  <c r="P245" i="2"/>
  <c r="O55" i="2"/>
  <c r="N55" i="2"/>
  <c r="S55" i="2"/>
  <c r="U55" i="2"/>
  <c r="T55" i="2"/>
  <c r="R55" i="2"/>
  <c r="P55" i="2"/>
  <c r="Q55" i="2"/>
  <c r="P34" i="2"/>
  <c r="Q34" i="2"/>
  <c r="U34" i="2"/>
  <c r="R34" i="2"/>
  <c r="O34" i="2"/>
  <c r="T34" i="2"/>
  <c r="S34" i="2"/>
  <c r="N34" i="2"/>
  <c r="U243" i="2"/>
  <c r="P243" i="2"/>
  <c r="Q243" i="2"/>
  <c r="S243" i="2"/>
  <c r="T243" i="2"/>
  <c r="N243" i="2"/>
  <c r="R243" i="2"/>
  <c r="O243" i="2"/>
  <c r="R99" i="2"/>
  <c r="P99" i="2"/>
  <c r="O99" i="2"/>
  <c r="S99" i="2"/>
  <c r="T99" i="2"/>
  <c r="U99" i="2"/>
  <c r="Q99" i="2"/>
  <c r="N99" i="2"/>
  <c r="P9" i="2"/>
  <c r="U9" i="2"/>
  <c r="O9" i="2"/>
  <c r="Q9" i="2"/>
  <c r="T9" i="2"/>
  <c r="R9" i="2"/>
  <c r="N9" i="2"/>
  <c r="S9" i="2"/>
  <c r="X7" i="2"/>
  <c r="Y7" i="2"/>
  <c r="AA7" i="2"/>
  <c r="Z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ANEESH BHIR</author>
  </authors>
  <commentList>
    <comment ref="V2" authorId="0" shapeId="0" xr:uid="{00000000-0006-0000-0200-000001000000}">
      <text>
        <r>
          <rPr>
            <b/>
            <sz val="9"/>
            <color indexed="81"/>
            <rFont val="Tahoma"/>
            <family val="2"/>
          </rPr>
          <t>ANEESH BHIR:</t>
        </r>
        <r>
          <rPr>
            <sz val="9"/>
            <color indexed="81"/>
            <rFont val="Tahoma"/>
            <family val="2"/>
          </rPr>
          <t xml:space="preserve">
Where the battery pack is assembled.</t>
        </r>
      </text>
    </comment>
    <comment ref="AB2" authorId="0" shapeId="0" xr:uid="{00000000-0006-0000-0200-000002000000}">
      <text>
        <r>
          <rPr>
            <b/>
            <sz val="9"/>
            <color indexed="81"/>
            <rFont val="Tahoma"/>
            <family val="2"/>
          </rPr>
          <t>ANEESH BHIR:</t>
        </r>
        <r>
          <rPr>
            <sz val="9"/>
            <color indexed="81"/>
            <rFont val="Tahoma"/>
            <family val="2"/>
          </rPr>
          <t xml:space="preserve">
YYYYMMDD
YYYY - 2000 =&gt; 7 bits
(2000 -&gt; 2127)
MM =&gt; 4 bits
(1 -&gt; 12)
D =&gt; 5 bits
(1 -&gt; 31)
Together, these 16 bits are concatenated into 4 hex characters.
However, the entire range of hex values will not be covered.</t>
        </r>
      </text>
    </comment>
    <comment ref="AT2" authorId="0" shapeId="0" xr:uid="{00000000-0006-0000-0200-000003000000}">
      <text>
        <r>
          <rPr>
            <b/>
            <sz val="9"/>
            <color indexed="81"/>
            <rFont val="Tahoma"/>
            <family val="2"/>
          </rPr>
          <t>ANEESH BHIR:</t>
        </r>
        <r>
          <rPr>
            <sz val="9"/>
            <color indexed="81"/>
            <rFont val="Tahoma"/>
            <family val="2"/>
          </rPr>
          <t xml:space="preserve">
Line in the battery plant at which the battery pack is assembled.</t>
        </r>
      </text>
    </comment>
    <comment ref="BD2" authorId="0" shapeId="0" xr:uid="{00000000-0006-0000-0200-000004000000}">
      <text>
        <r>
          <rPr>
            <b/>
            <sz val="9"/>
            <color indexed="81"/>
            <rFont val="Tahoma"/>
            <family val="2"/>
          </rPr>
          <t>ANEESH BHIR:</t>
        </r>
        <r>
          <rPr>
            <sz val="9"/>
            <color indexed="81"/>
            <rFont val="Tahoma"/>
            <family val="2"/>
          </rPr>
          <t xml:space="preserve">
Serial number of a battery manufactured at a particular plant.</t>
        </r>
      </text>
    </comment>
  </commentList>
</comments>
</file>

<file path=xl/sharedStrings.xml><?xml version="1.0" encoding="utf-8"?>
<sst xmlns="http://schemas.openxmlformats.org/spreadsheetml/2006/main" count="402" uniqueCount="168">
  <si>
    <t>2W</t>
  </si>
  <si>
    <t>Vehicles/year</t>
  </si>
  <si>
    <t>%EV</t>
  </si>
  <si>
    <t>#batteries/vehicle</t>
  </si>
  <si>
    <t>swap fraction</t>
  </si>
  <si>
    <t>swap factor</t>
  </si>
  <si>
    <t>fixed replacement factor</t>
  </si>
  <si>
    <t>nYears</t>
  </si>
  <si>
    <t>compounded @</t>
  </si>
  <si>
    <t>3W</t>
  </si>
  <si>
    <t>#batteries/year</t>
  </si>
  <si>
    <t>#batteries/month</t>
  </si>
  <si>
    <t>Total</t>
  </si>
  <si>
    <t>#batteries total</t>
  </si>
  <si>
    <t>#bits required</t>
  </si>
  <si>
    <t>Format</t>
  </si>
  <si>
    <t>Parameter</t>
  </si>
  <si>
    <t>Min</t>
  </si>
  <si>
    <t>Max</t>
  </si>
  <si>
    <t>Enum</t>
  </si>
  <si>
    <t>Year</t>
  </si>
  <si>
    <t>Month</t>
  </si>
  <si>
    <t>Date</t>
  </si>
  <si>
    <t>BAL</t>
  </si>
  <si>
    <t>Constant</t>
  </si>
  <si>
    <t>YYYYMMDD</t>
  </si>
  <si>
    <t>BatteryVariant</t>
  </si>
  <si>
    <t>PackSupplier</t>
  </si>
  <si>
    <t>AssemblyInfo</t>
  </si>
  <si>
    <t>SerialNumber</t>
  </si>
  <si>
    <t>BMSsupplier</t>
  </si>
  <si>
    <t>BatteryConfig</t>
  </si>
  <si>
    <t>FullName</t>
  </si>
  <si>
    <t>SWP</t>
  </si>
  <si>
    <t>FIX</t>
  </si>
  <si>
    <t>0021</t>
  </si>
  <si>
    <t>FF9F</t>
  </si>
  <si>
    <t>Hex</t>
  </si>
  <si>
    <t>Name</t>
  </si>
  <si>
    <t>#</t>
  </si>
  <si>
    <t>Bajaj</t>
  </si>
  <si>
    <t>Plant line</t>
  </si>
  <si>
    <t>BMSmfg</t>
  </si>
  <si>
    <t>BALcellPartNum</t>
  </si>
  <si>
    <t>YYYY</t>
  </si>
  <si>
    <t>MM</t>
  </si>
  <si>
    <t>DD</t>
  </si>
  <si>
    <t>Revision History</t>
  </si>
  <si>
    <t>Version</t>
  </si>
  <si>
    <t>Prepared by</t>
  </si>
  <si>
    <t>Reviewed by</t>
  </si>
  <si>
    <t>Approved by</t>
  </si>
  <si>
    <t>Reason for modification</t>
  </si>
  <si>
    <t>0.0.1</t>
  </si>
  <si>
    <t>Aneesh Bhir</t>
  </si>
  <si>
    <t>Original.</t>
  </si>
  <si>
    <t>Title</t>
  </si>
  <si>
    <t>Designer</t>
  </si>
  <si>
    <t>E-mail</t>
  </si>
  <si>
    <t>Company</t>
  </si>
  <si>
    <t>Department</t>
  </si>
  <si>
    <t>List of Abbreviations</t>
  </si>
  <si>
    <t>Document Structure</t>
  </si>
  <si>
    <t>Type</t>
  </si>
  <si>
    <t>Section name/Text/LaTex/Table Name/Chart Name/Figure File Name</t>
  </si>
  <si>
    <t>Label</t>
  </si>
  <si>
    <t>Caption</t>
  </si>
  <si>
    <t>Introduction</t>
  </si>
  <si>
    <t>BAL R&amp;D</t>
  </si>
  <si>
    <t>BIN</t>
  </si>
  <si>
    <t>Sr.</t>
  </si>
  <si>
    <t>Bajaj R&amp;D</t>
  </si>
  <si>
    <t>Year (YYYY)</t>
  </si>
  <si>
    <t>Month (MM)</t>
  </si>
  <si>
    <t>Date (DD)</t>
  </si>
  <si>
    <t>0.0.2</t>
  </si>
  <si>
    <t>Added BINuniverse sheet. Here:
- one can select parameters and arrive at a BIN.
- sanity checks for each parameter are applied.</t>
  </si>
  <si>
    <t>Battery Identification Number</t>
  </si>
  <si>
    <t>GOTION</t>
  </si>
  <si>
    <t xml:space="preserve">Gotion </t>
  </si>
  <si>
    <t>Gotion 14.5Ah</t>
  </si>
  <si>
    <t>Gotion 21Ah</t>
  </si>
  <si>
    <t>TACO-EV</t>
  </si>
  <si>
    <t>Tata Autocomp</t>
  </si>
  <si>
    <t>RNTEC</t>
  </si>
  <si>
    <t>PENERGY</t>
  </si>
  <si>
    <t>Gotion - Penergy</t>
  </si>
  <si>
    <t>Gotion - RNTEC</t>
  </si>
  <si>
    <t>2.96kWh</t>
  </si>
  <si>
    <t xml:space="preserve">8.9 kWh </t>
  </si>
  <si>
    <t>11.8 kWh</t>
  </si>
  <si>
    <t>Battery Capacity</t>
  </si>
  <si>
    <t xml:space="preserve">Remarks </t>
  </si>
  <si>
    <t xml:space="preserve">Gotion 8.9 kWh </t>
  </si>
  <si>
    <t>0.0.3</t>
  </si>
  <si>
    <t>Vikram Jain</t>
  </si>
  <si>
    <t>Added new Battery pack and BMS supplier for Gotion</t>
  </si>
  <si>
    <t>1.07 kWh</t>
  </si>
  <si>
    <t>Gotion 1.07 Shared Mobility</t>
  </si>
  <si>
    <t>Shared Mobility</t>
  </si>
  <si>
    <t>Capacity</t>
  </si>
  <si>
    <t>Project</t>
  </si>
  <si>
    <t>Serial Number</t>
  </si>
  <si>
    <t>Gotion 11.8 kWh</t>
  </si>
  <si>
    <t>Number</t>
  </si>
  <si>
    <t>PRF027135_145</t>
  </si>
  <si>
    <t>GL405132_21</t>
  </si>
  <si>
    <t>0.0.4</t>
  </si>
  <si>
    <t>Aditya Tanwar</t>
  </si>
  <si>
    <t>0.0.5</t>
  </si>
  <si>
    <t>Abhishek/Aditya</t>
  </si>
  <si>
    <t>12.1 kWh</t>
  </si>
  <si>
    <t>9.2 kWh</t>
  </si>
  <si>
    <t>12.2 kWh</t>
  </si>
  <si>
    <t>9.2 kWh (Side lug mounting)</t>
  </si>
  <si>
    <t>12.1kWh (Side lug mounting)</t>
  </si>
  <si>
    <t>10.3 kWh (Prismatic)</t>
  </si>
  <si>
    <t>13.72 kWh (Prismatic)</t>
  </si>
  <si>
    <t>10.3 kWh (Heater)</t>
  </si>
  <si>
    <t>13.72 kWh (Heater)</t>
  </si>
  <si>
    <t>R119B</t>
  </si>
  <si>
    <t>R116C</t>
  </si>
  <si>
    <t>R127A</t>
  </si>
  <si>
    <t>R125D/ R116G</t>
  </si>
  <si>
    <t>R116K</t>
  </si>
  <si>
    <t>R127D</t>
  </si>
  <si>
    <t>DBG</t>
  </si>
  <si>
    <t>TACO- DBG</t>
  </si>
  <si>
    <t>Gotion 12.1kWh pack</t>
  </si>
  <si>
    <t>Gotion 9.2 kWh_14.8Ah cells</t>
  </si>
  <si>
    <t>Gotion 12.2 kWh_14.8Ah cells</t>
  </si>
  <si>
    <t>Gotion 9.2 kWh (Side lug mounting)_14.8Ah cells</t>
  </si>
  <si>
    <t>Gotion 12.1kWh (Side lug mounting)_14.8Ah cells</t>
  </si>
  <si>
    <t>Gotion 10.3 kWh (Prismatic)_67Ah cells</t>
  </si>
  <si>
    <t>Gotion 13.72 kWh (Prismatic)_67Ah cells</t>
  </si>
  <si>
    <t>Gotion 10.3 kWh (Heater)_67Ah cells</t>
  </si>
  <si>
    <t>Gotion 13.72 kWh (Heater)_67Ah cells</t>
  </si>
  <si>
    <t>0.0.6</t>
  </si>
  <si>
    <t>Asma Khan</t>
  </si>
  <si>
    <t>Gotion 5.9 kWh</t>
  </si>
  <si>
    <t xml:space="preserve">5.9 kWh </t>
  </si>
  <si>
    <t>6.1 kWh</t>
  </si>
  <si>
    <t>RESERVED7</t>
  </si>
  <si>
    <t>RESERVED8</t>
  </si>
  <si>
    <t>RESERVED 1</t>
  </si>
  <si>
    <t>RESERVED 2</t>
  </si>
  <si>
    <t>RESERVED 3</t>
  </si>
  <si>
    <t>RESERVED 4</t>
  </si>
  <si>
    <t>RESERVED 5</t>
  </si>
  <si>
    <t>RESERVED 6</t>
  </si>
  <si>
    <t>RESERVED9</t>
  </si>
  <si>
    <t>RESERVED10</t>
  </si>
  <si>
    <t>RESERVED11</t>
  </si>
  <si>
    <t>RESERVED12</t>
  </si>
  <si>
    <t>RESERVED 7</t>
  </si>
  <si>
    <t>RESERVED 8</t>
  </si>
  <si>
    <t>R116L - 9.2kWh</t>
  </si>
  <si>
    <t>R116L - 12.1kWh</t>
  </si>
  <si>
    <t>6.8 kWh</t>
  </si>
  <si>
    <t>R119H</t>
  </si>
  <si>
    <t>Added new battery packs from Gotion
12.1 kWh
9.2 kWh
12.2 kWh
9.2 kWh (Side lug mounting)
12.1kWh (Side lug mounting)
10.3 kWh (Prismatic)
13.72 kWh (Prismatic)
10.3 kWh (Heater)
13.72 kWh (Heater)
6.1kWh
6.8kWh</t>
  </si>
  <si>
    <t>Gotion Prismatic 67Ah</t>
  </si>
  <si>
    <t>Gotion_14.8</t>
  </si>
  <si>
    <t>Gotion_67</t>
  </si>
  <si>
    <t>Gotion Cylindrical 14.8Ah</t>
  </si>
  <si>
    <t>Gotion 6.1 kWh _14.8Ah cells</t>
  </si>
  <si>
    <t>Gotion 6.8 kWh (Prismatic)_67Ah cells</t>
  </si>
  <si>
    <t xml:space="preserve">RESERVED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</si>
</sst>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
  </numFmts>
  <fonts count="1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theme="1"/>
      <name val="Calibri"/>
      <family val="2"/>
    </font>
    <font>
      <sz val="10"/>
      <name val="Arial"/>
      <family val="2"/>
    </font>
    <font>
      <b/>
      <sz val="14"/>
      <name val="Arial"/>
      <family val="2"/>
    </font>
    <font>
      <b/>
      <sz val="10"/>
      <name val="Arial"/>
      <family val="2"/>
    </font>
    <font>
      <u/>
      <sz val="10"/>
      <color indexed="12"/>
      <name val="Arial"/>
      <family val="2"/>
    </font>
    <font>
      <b/>
      <sz val="11"/>
      <color theme="1"/>
      <name val="Cambria"/>
      <family val="1"/>
    </font>
    <font>
      <sz val="11"/>
      <color theme="1"/>
      <name val="Cambria"/>
      <family val="1"/>
    </font>
    <font>
      <b/>
      <sz val="11"/>
      <name val="Cambria"/>
      <family val="1"/>
    </font>
    <font>
      <sz val="8"/>
      <name val="Calibri"/>
      <family val="2"/>
      <scheme val="minor"/>
    </font>
    <font>
      <sz val="12"/>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ck">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ck">
        <color auto="1"/>
      </left>
      <right/>
      <top style="thin">
        <color theme="0" tint="-0.499984740745262"/>
      </top>
      <bottom style="thin">
        <color theme="0" tint="-0.499984740745262"/>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bottom style="thin">
        <color indexed="64"/>
      </bottom>
      <diagonal/>
    </border>
    <border>
      <left/>
      <right/>
      <top/>
      <bottom style="thin">
        <color indexed="64"/>
      </bottom>
      <diagonal/>
    </border>
    <border>
      <left style="thick">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theme="0" tint="-0.499984740745262"/>
      </right>
      <top style="thin">
        <color theme="0" tint="-0.499984740745262"/>
      </top>
      <bottom/>
      <diagonal/>
    </border>
  </borders>
  <cellStyleXfs count="3">
    <xf numFmtId="0" fontId="0" fillId="0" borderId="0"/>
    <xf numFmtId="0" fontId="5" fillId="0" borderId="0"/>
    <xf numFmtId="0" fontId="8" fillId="0" borderId="0" applyNumberFormat="0" applyFill="0" applyBorder="0" applyAlignment="0" applyProtection="0">
      <alignment vertical="top"/>
      <protection locked="0"/>
    </xf>
  </cellStyleXfs>
  <cellXfs count="107">
    <xf numFmtId="0" fontId="0" fillId="0" borderId="0" xfId="0"/>
    <xf numFmtId="0" fontId="0" fillId="0" borderId="1" xfId="0" applyBorder="1"/>
    <xf numFmtId="0" fontId="0" fillId="0" borderId="2" xfId="0" applyBorder="1"/>
    <xf numFmtId="0" fontId="0" fillId="0" borderId="2" xfId="0" applyBorder="1" applyAlignment="1">
      <alignment horizontal="right"/>
    </xf>
    <xf numFmtId="0" fontId="1" fillId="0" borderId="2" xfId="0" applyFont="1" applyBorder="1"/>
    <xf numFmtId="0" fontId="0" fillId="0" borderId="4" xfId="0" applyBorder="1"/>
    <xf numFmtId="0" fontId="0" fillId="0" borderId="3" xfId="0" applyBorder="1" applyAlignment="1">
      <alignment horizontal="right"/>
    </xf>
    <xf numFmtId="0" fontId="0" fillId="0" borderId="2" xfId="0" quotePrefix="1" applyBorder="1"/>
    <xf numFmtId="0" fontId="1" fillId="0" borderId="4" xfId="0" applyFont="1" applyBorder="1"/>
    <xf numFmtId="0" fontId="0" fillId="0" borderId="3" xfId="0" applyBorder="1"/>
    <xf numFmtId="0" fontId="4" fillId="0" borderId="0" xfId="0" applyFont="1" applyAlignment="1">
      <alignment vertical="top"/>
    </xf>
    <xf numFmtId="0" fontId="4" fillId="0" borderId="0" xfId="0" applyFont="1"/>
    <xf numFmtId="9" fontId="4" fillId="0" borderId="0" xfId="0" applyNumberFormat="1" applyFont="1" applyAlignment="1">
      <alignment vertical="top"/>
    </xf>
    <xf numFmtId="0" fontId="1" fillId="0" borderId="0" xfId="0" applyFont="1"/>
    <xf numFmtId="0" fontId="1" fillId="0" borderId="1" xfId="0" applyFont="1" applyBorder="1"/>
    <xf numFmtId="0" fontId="0" fillId="0" borderId="9" xfId="0" applyBorder="1"/>
    <xf numFmtId="0" fontId="1" fillId="0" borderId="8" xfId="0" applyFont="1" applyBorder="1"/>
    <xf numFmtId="0" fontId="0" fillId="0" borderId="8" xfId="0" applyBorder="1"/>
    <xf numFmtId="0" fontId="1" fillId="0" borderId="3" xfId="0" applyFont="1" applyBorder="1" applyAlignment="1">
      <alignment horizontal="right"/>
    </xf>
    <xf numFmtId="0" fontId="0" fillId="2" borderId="1" xfId="0" applyFill="1" applyBorder="1"/>
    <xf numFmtId="0" fontId="1" fillId="2" borderId="9" xfId="0" applyFont="1" applyFill="1" applyBorder="1"/>
    <xf numFmtId="0" fontId="0" fillId="2" borderId="9" xfId="0" applyFill="1" applyBorder="1"/>
    <xf numFmtId="0" fontId="1" fillId="0" borderId="2" xfId="0" applyFont="1" applyBorder="1" applyAlignment="1">
      <alignment horizontal="right"/>
    </xf>
    <xf numFmtId="0" fontId="0" fillId="0" borderId="7" xfId="0" applyBorder="1"/>
    <xf numFmtId="0" fontId="1" fillId="0" borderId="7" xfId="0" applyFont="1" applyBorder="1"/>
    <xf numFmtId="0" fontId="1" fillId="0" borderId="14" xfId="0" applyFont="1" applyBorder="1"/>
    <xf numFmtId="0" fontId="0" fillId="0" borderId="7" xfId="0" applyBorder="1" applyAlignment="1">
      <alignment horizontal="right"/>
    </xf>
    <xf numFmtId="0" fontId="1" fillId="0" borderId="7" xfId="0" applyFont="1" applyBorder="1" applyAlignment="1">
      <alignment horizontal="right"/>
    </xf>
    <xf numFmtId="0" fontId="0" fillId="0" borderId="7" xfId="0" quotePrefix="1" applyBorder="1" applyAlignment="1">
      <alignment horizontal="right"/>
    </xf>
    <xf numFmtId="0" fontId="0" fillId="0" borderId="3" xfId="0" applyBorder="1" applyAlignment="1">
      <alignment horizontal="left"/>
    </xf>
    <xf numFmtId="0" fontId="1" fillId="0" borderId="5" xfId="0" applyFont="1" applyBorder="1"/>
    <xf numFmtId="0" fontId="1" fillId="0" borderId="6" xfId="0" applyFont="1" applyBorder="1"/>
    <xf numFmtId="0" fontId="0" fillId="0" borderId="6" xfId="0" applyBorder="1"/>
    <xf numFmtId="0" fontId="0" fillId="3" borderId="2" xfId="0" applyFill="1" applyBorder="1"/>
    <xf numFmtId="165" fontId="7" fillId="0" borderId="1" xfId="1" applyNumberFormat="1" applyFont="1" applyBorder="1" applyAlignment="1">
      <alignment horizontal="center" vertical="top"/>
    </xf>
    <xf numFmtId="0" fontId="5" fillId="0" borderId="1" xfId="1" applyBorder="1" applyAlignment="1">
      <alignment vertical="top"/>
    </xf>
    <xf numFmtId="0" fontId="5" fillId="0" borderId="1" xfId="1" applyBorder="1" applyAlignment="1">
      <alignment vertical="top" wrapText="1"/>
    </xf>
    <xf numFmtId="165" fontId="5" fillId="0" borderId="1" xfId="1" applyNumberFormat="1" applyBorder="1" applyAlignment="1">
      <alignment vertical="top"/>
    </xf>
    <xf numFmtId="0" fontId="5" fillId="0" borderId="15" xfId="1" applyBorder="1" applyAlignment="1">
      <alignment vertical="top"/>
    </xf>
    <xf numFmtId="0" fontId="7" fillId="0" borderId="0" xfId="1" applyFont="1"/>
    <xf numFmtId="0" fontId="5" fillId="0" borderId="0" xfId="1"/>
    <xf numFmtId="0" fontId="8" fillId="0" borderId="0" xfId="2" applyAlignment="1" applyProtection="1"/>
    <xf numFmtId="0" fontId="10" fillId="0" borderId="1" xfId="0" applyFont="1" applyBorder="1" applyAlignment="1">
      <alignment horizontal="center"/>
    </xf>
    <xf numFmtId="0" fontId="10" fillId="0" borderId="0" xfId="0" applyFont="1"/>
    <xf numFmtId="0" fontId="9" fillId="2" borderId="1" xfId="0" applyFont="1" applyFill="1" applyBorder="1" applyProtection="1">
      <protection locked="0"/>
    </xf>
    <xf numFmtId="0" fontId="10" fillId="0" borderId="1" xfId="0" applyFont="1" applyBorder="1" applyAlignment="1" applyProtection="1">
      <alignment horizontal="center"/>
      <protection locked="0"/>
    </xf>
    <xf numFmtId="0" fontId="10" fillId="0" borderId="0" xfId="0" applyFont="1" applyProtection="1">
      <protection locked="0"/>
    </xf>
    <xf numFmtId="2" fontId="0" fillId="2" borderId="1" xfId="0" applyNumberFormat="1" applyFill="1" applyBorder="1"/>
    <xf numFmtId="0" fontId="1" fillId="2" borderId="1" xfId="0" applyFont="1" applyFill="1" applyBorder="1"/>
    <xf numFmtId="0" fontId="1" fillId="0" borderId="13" xfId="0" applyFont="1" applyBorder="1" applyAlignment="1">
      <alignment horizontal="center"/>
    </xf>
    <xf numFmtId="0" fontId="10" fillId="0" borderId="15" xfId="0" applyFont="1" applyBorder="1" applyAlignment="1" applyProtection="1">
      <alignment horizontal="center"/>
      <protection locked="0"/>
    </xf>
    <xf numFmtId="0" fontId="10" fillId="0" borderId="16" xfId="0" applyFont="1" applyBorder="1" applyAlignment="1" applyProtection="1">
      <alignment horizontal="center"/>
      <protection locked="0"/>
    </xf>
    <xf numFmtId="0" fontId="10" fillId="0" borderId="16" xfId="0" applyFont="1" applyBorder="1" applyAlignment="1">
      <alignment horizontal="center"/>
    </xf>
    <xf numFmtId="0" fontId="11" fillId="2" borderId="1" xfId="0" applyFont="1" applyFill="1" applyBorder="1" applyProtection="1">
      <protection locked="0"/>
    </xf>
    <xf numFmtId="0" fontId="11" fillId="2" borderId="1" xfId="0" applyFont="1" applyFill="1" applyBorder="1"/>
    <xf numFmtId="0" fontId="0" fillId="0" borderId="1" xfId="0" applyBorder="1" applyAlignment="1">
      <alignment horizontal="center"/>
    </xf>
    <xf numFmtId="0" fontId="0" fillId="0" borderId="1" xfId="0" applyBorder="1" applyAlignment="1">
      <alignment horizontal="left"/>
    </xf>
    <xf numFmtId="0" fontId="1" fillId="0" borderId="1" xfId="0" applyFont="1" applyBorder="1" applyAlignment="1">
      <alignment horizontal="center"/>
    </xf>
    <xf numFmtId="0" fontId="10" fillId="0" borderId="1" xfId="0" applyFont="1" applyBorder="1" applyAlignment="1" applyProtection="1">
      <alignment horizontal="left"/>
      <protection locked="0"/>
    </xf>
    <xf numFmtId="0" fontId="10" fillId="0" borderId="16" xfId="0" applyFont="1" applyBorder="1" applyAlignment="1" applyProtection="1">
      <alignment horizontal="left"/>
      <protection locked="0"/>
    </xf>
    <xf numFmtId="0" fontId="10" fillId="0" borderId="0" xfId="0" applyFont="1" applyAlignment="1" applyProtection="1">
      <alignment horizontal="left"/>
      <protection locked="0"/>
    </xf>
    <xf numFmtId="0" fontId="0" fillId="0" borderId="5" xfId="0" applyBorder="1"/>
    <xf numFmtId="0" fontId="0" fillId="0" borderId="2" xfId="0" applyBorder="1" applyAlignment="1">
      <alignment horizontal="left"/>
    </xf>
    <xf numFmtId="0" fontId="1" fillId="0" borderId="1" xfId="0" applyFont="1" applyBorder="1" applyAlignment="1">
      <alignment horizontal="left"/>
    </xf>
    <xf numFmtId="0" fontId="0" fillId="0" borderId="6" xfId="0" applyBorder="1" applyAlignment="1">
      <alignment horizontal="left"/>
    </xf>
    <xf numFmtId="0" fontId="13" fillId="0" borderId="1" xfId="0" applyFont="1" applyBorder="1" applyAlignment="1">
      <alignment horizontal="left" vertical="center" wrapText="1"/>
    </xf>
    <xf numFmtId="0" fontId="10" fillId="0" borderId="1" xfId="0" applyFont="1" applyBorder="1"/>
    <xf numFmtId="0" fontId="0" fillId="0" borderId="21" xfId="0" applyBorder="1" applyAlignment="1">
      <alignment horizontal="left"/>
    </xf>
    <xf numFmtId="164" fontId="5" fillId="0" borderId="1" xfId="1" applyNumberFormat="1" applyBorder="1" applyAlignment="1">
      <alignment horizontal="left" vertical="top"/>
    </xf>
    <xf numFmtId="164" fontId="5" fillId="0" borderId="15" xfId="1" applyNumberFormat="1" applyBorder="1" applyAlignment="1">
      <alignment horizontal="left" vertical="top"/>
    </xf>
    <xf numFmtId="0" fontId="0" fillId="0" borderId="0" xfId="0" applyAlignment="1">
      <alignment horizontal="left"/>
    </xf>
    <xf numFmtId="0" fontId="9" fillId="2" borderId="15" xfId="0" applyFont="1" applyFill="1" applyBorder="1" applyAlignment="1" applyProtection="1">
      <alignment horizontal="left" wrapText="1"/>
      <protection locked="0"/>
    </xf>
    <xf numFmtId="0" fontId="9" fillId="2" borderId="16" xfId="0" applyFont="1" applyFill="1" applyBorder="1" applyAlignment="1" applyProtection="1">
      <alignment horizontal="left" wrapText="1"/>
      <protection locked="0"/>
    </xf>
    <xf numFmtId="0" fontId="9" fillId="2" borderId="15" xfId="0" applyFont="1" applyFill="1" applyBorder="1" applyAlignment="1" applyProtection="1">
      <alignment horizontal="center"/>
      <protection locked="0"/>
    </xf>
    <xf numFmtId="0" fontId="9" fillId="2" borderId="16" xfId="0" applyFont="1" applyFill="1" applyBorder="1" applyAlignment="1" applyProtection="1">
      <alignment horizontal="center"/>
      <protection locked="0"/>
    </xf>
    <xf numFmtId="0" fontId="11" fillId="2" borderId="9" xfId="0" applyFont="1" applyFill="1" applyBorder="1" applyAlignment="1" applyProtection="1">
      <alignment horizontal="center"/>
      <protection locked="0"/>
    </xf>
    <xf numFmtId="0" fontId="11" fillId="2" borderId="10" xfId="0" applyFont="1" applyFill="1" applyBorder="1" applyAlignment="1" applyProtection="1">
      <alignment horizontal="center"/>
      <protection locked="0"/>
    </xf>
    <xf numFmtId="0" fontId="11" fillId="2" borderId="19" xfId="0" applyFont="1" applyFill="1" applyBorder="1" applyAlignment="1" applyProtection="1">
      <alignment horizontal="center"/>
      <protection locked="0"/>
    </xf>
    <xf numFmtId="0" fontId="9" fillId="2" borderId="9" xfId="0" applyFont="1" applyFill="1" applyBorder="1" applyAlignment="1" applyProtection="1">
      <alignment horizontal="center"/>
      <protection locked="0"/>
    </xf>
    <xf numFmtId="0" fontId="9" fillId="2" borderId="10" xfId="0" applyFont="1" applyFill="1" applyBorder="1" applyAlignment="1" applyProtection="1">
      <alignment horizontal="center"/>
      <protection locked="0"/>
    </xf>
    <xf numFmtId="0" fontId="9" fillId="2" borderId="19" xfId="0" applyFont="1" applyFill="1" applyBorder="1" applyAlignment="1" applyProtection="1">
      <alignment horizontal="center"/>
      <protection locked="0"/>
    </xf>
    <xf numFmtId="0" fontId="11" fillId="2" borderId="15" xfId="0" applyFont="1" applyFill="1" applyBorder="1" applyAlignment="1" applyProtection="1">
      <alignment horizontal="center"/>
      <protection locked="0"/>
    </xf>
    <xf numFmtId="0" fontId="11" fillId="2" borderId="16" xfId="0" applyFont="1" applyFill="1" applyBorder="1" applyAlignment="1" applyProtection="1">
      <alignment horizontal="center"/>
      <protection locked="0"/>
    </xf>
    <xf numFmtId="0" fontId="11" fillId="2" borderId="15" xfId="0" applyFont="1" applyFill="1" applyBorder="1" applyAlignment="1" applyProtection="1">
      <alignment horizontal="center" wrapText="1"/>
      <protection locked="0"/>
    </xf>
    <xf numFmtId="0" fontId="11" fillId="2" borderId="16" xfId="0" applyFont="1" applyFill="1" applyBorder="1" applyAlignment="1" applyProtection="1">
      <alignment horizontal="center" wrapText="1"/>
      <protection locked="0"/>
    </xf>
    <xf numFmtId="0" fontId="9" fillId="2" borderId="15" xfId="0" applyFont="1" applyFill="1" applyBorder="1" applyAlignment="1" applyProtection="1">
      <alignment horizontal="center" wrapText="1"/>
      <protection locked="0"/>
    </xf>
    <xf numFmtId="0" fontId="9" fillId="2" borderId="16" xfId="0" applyFont="1" applyFill="1" applyBorder="1" applyAlignment="1" applyProtection="1">
      <alignment horizontal="center" wrapText="1"/>
      <protection locked="0"/>
    </xf>
    <xf numFmtId="0" fontId="6" fillId="0" borderId="1" xfId="1" applyFont="1" applyBorder="1" applyAlignment="1">
      <alignment horizontal="center" vertical="top"/>
    </xf>
    <xf numFmtId="0" fontId="7" fillId="0" borderId="15" xfId="1" applyFont="1" applyBorder="1" applyAlignment="1">
      <alignment horizontal="center" vertical="top"/>
    </xf>
    <xf numFmtId="0" fontId="7" fillId="0" borderId="16" xfId="1" applyFont="1" applyBorder="1" applyAlignment="1">
      <alignment horizontal="center" vertical="top"/>
    </xf>
    <xf numFmtId="164" fontId="7" fillId="0" borderId="15" xfId="1" applyNumberFormat="1" applyFont="1" applyBorder="1" applyAlignment="1">
      <alignment horizontal="left" vertical="top"/>
    </xf>
    <xf numFmtId="164" fontId="7" fillId="0" borderId="16" xfId="1" applyNumberFormat="1" applyFont="1" applyBorder="1" applyAlignment="1">
      <alignment horizontal="left" vertical="top"/>
    </xf>
    <xf numFmtId="0" fontId="7" fillId="0" borderId="15" xfId="1" applyFont="1" applyBorder="1" applyAlignment="1">
      <alignment horizontal="center" vertical="top" wrapText="1"/>
    </xf>
    <xf numFmtId="0" fontId="7" fillId="0" borderId="16" xfId="1" applyFont="1" applyBorder="1" applyAlignment="1">
      <alignment horizontal="center" vertical="top" wrapText="1"/>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2"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20" xfId="0" applyFont="1" applyBorder="1" applyAlignment="1">
      <alignment horizontal="center"/>
    </xf>
    <xf numFmtId="0" fontId="1" fillId="0" borderId="19" xfId="0" applyFont="1" applyBorder="1" applyAlignment="1">
      <alignment horizontal="center"/>
    </xf>
  </cellXfs>
  <cellStyles count="3">
    <cellStyle name="Hyperlink" xfId="2" builtinId="8"/>
    <cellStyle name="Normal" xfId="0" builtinId="0"/>
    <cellStyle name="Normal 2" xfId="1" xr:uid="{00000000-0005-0000-0000-000002000000}"/>
  </cellStyles>
  <dxfs count="27">
    <dxf>
      <fill>
        <patternFill>
          <bgColor rgb="FFFFC000"/>
        </patternFill>
      </fill>
    </dxf>
    <dxf>
      <fill>
        <patternFill>
          <bgColor rgb="FFFFC000"/>
        </patternFill>
      </fill>
    </dxf>
    <dxf>
      <fill>
        <patternFill>
          <bgColor rgb="FFFFC000"/>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rgb="FFFFC000"/>
        </patternFill>
      </fill>
    </dxf>
    <dxf>
      <fill>
        <patternFill>
          <bgColor theme="2" tint="-9.9948118533890809E-2"/>
        </patternFill>
      </fill>
    </dxf>
    <dxf>
      <fill>
        <patternFill>
          <bgColor theme="2" tint="-9.9948118533890809E-2"/>
        </patternFill>
      </fill>
    </dxf>
    <dxf>
      <fill>
        <patternFill>
          <bgColor rgb="FFFFC000"/>
        </patternFill>
      </fill>
    </dxf>
    <dxf>
      <fill>
        <patternFill>
          <bgColor rgb="FFFFC000"/>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C695-2050-46D1-89F7-07199A84C1FE}">
  <dimension ref="A1:G15"/>
  <sheetViews>
    <sheetView topLeftCell="A6" zoomScale="85" zoomScaleNormal="85" workbookViewId="0">
      <selection activeCell="M10" sqref="M10"/>
    </sheetView>
  </sheetViews>
  <sheetFormatPr defaultRowHeight="15" x14ac:dyDescent="0.25"/>
  <cols>
    <col min="1" max="1" width="9.7109375" bestFit="1" customWidth="1"/>
    <col min="2" max="2" width="9.85546875" style="70" bestFit="1" customWidth="1"/>
    <col min="3" max="3" width="20.42578125" customWidth="1"/>
    <col min="4" max="4" width="14.42578125" bestFit="1" customWidth="1"/>
    <col min="5" max="5" width="14.5703125" bestFit="1" customWidth="1"/>
    <col min="6" max="6" width="2.5703125" bestFit="1" customWidth="1"/>
    <col min="7" max="7" width="33.28515625" customWidth="1"/>
  </cols>
  <sheetData>
    <row r="1" spans="1:7" x14ac:dyDescent="0.25">
      <c r="A1" s="87" t="s">
        <v>47</v>
      </c>
      <c r="B1" s="87"/>
      <c r="C1" s="87"/>
      <c r="D1" s="87"/>
      <c r="E1" s="87"/>
      <c r="F1" s="87"/>
      <c r="G1" s="87"/>
    </row>
    <row r="2" spans="1:7" x14ac:dyDescent="0.25">
      <c r="A2" s="87"/>
      <c r="B2" s="87"/>
      <c r="C2" s="87"/>
      <c r="D2" s="87"/>
      <c r="E2" s="87"/>
      <c r="F2" s="87"/>
      <c r="G2" s="87"/>
    </row>
    <row r="3" spans="1:7" x14ac:dyDescent="0.25">
      <c r="A3" s="88" t="s">
        <v>48</v>
      </c>
      <c r="B3" s="90" t="s">
        <v>22</v>
      </c>
      <c r="C3" s="88" t="s">
        <v>49</v>
      </c>
      <c r="D3" s="88" t="s">
        <v>50</v>
      </c>
      <c r="E3" s="88" t="s">
        <v>51</v>
      </c>
      <c r="F3" s="34"/>
      <c r="G3" s="92" t="s">
        <v>52</v>
      </c>
    </row>
    <row r="4" spans="1:7" x14ac:dyDescent="0.25">
      <c r="A4" s="89"/>
      <c r="B4" s="91"/>
      <c r="C4" s="89"/>
      <c r="D4" s="89"/>
      <c r="E4" s="89"/>
      <c r="F4" s="34"/>
      <c r="G4" s="93"/>
    </row>
    <row r="5" spans="1:7" x14ac:dyDescent="0.25">
      <c r="A5" s="35" t="s">
        <v>53</v>
      </c>
      <c r="B5" s="68">
        <v>44082</v>
      </c>
      <c r="C5" s="36" t="s">
        <v>54</v>
      </c>
      <c r="D5" s="35"/>
      <c r="E5" s="35"/>
      <c r="F5" s="37">
        <v>1</v>
      </c>
      <c r="G5" s="36" t="s">
        <v>55</v>
      </c>
    </row>
    <row r="6" spans="1:7" ht="63.75" x14ac:dyDescent="0.25">
      <c r="A6" s="38" t="s">
        <v>75</v>
      </c>
      <c r="B6" s="69">
        <v>44085</v>
      </c>
      <c r="C6" s="36" t="s">
        <v>54</v>
      </c>
      <c r="D6" s="35"/>
      <c r="E6" s="38"/>
      <c r="F6" s="37">
        <v>1</v>
      </c>
      <c r="G6" s="36" t="s">
        <v>76</v>
      </c>
    </row>
    <row r="7" spans="1:7" ht="25.5" x14ac:dyDescent="0.25">
      <c r="A7" s="38" t="s">
        <v>94</v>
      </c>
      <c r="B7" s="69">
        <v>44599</v>
      </c>
      <c r="C7" s="36" t="s">
        <v>95</v>
      </c>
      <c r="D7" s="35"/>
      <c r="E7" s="38"/>
      <c r="F7" s="37"/>
      <c r="G7" s="36" t="s">
        <v>96</v>
      </c>
    </row>
    <row r="8" spans="1:7" x14ac:dyDescent="0.25">
      <c r="A8" s="38" t="s">
        <v>107</v>
      </c>
      <c r="B8" s="69">
        <v>45478</v>
      </c>
      <c r="C8" s="36" t="s">
        <v>108</v>
      </c>
      <c r="D8" s="35"/>
      <c r="E8" s="38"/>
      <c r="F8" s="37"/>
      <c r="G8" s="36"/>
    </row>
    <row r="9" spans="1:7" x14ac:dyDescent="0.25">
      <c r="A9" s="38" t="s">
        <v>109</v>
      </c>
      <c r="B9" s="69">
        <v>45882</v>
      </c>
      <c r="C9" s="36" t="s">
        <v>110</v>
      </c>
      <c r="D9" s="35"/>
      <c r="E9" s="38"/>
      <c r="F9" s="37"/>
      <c r="G9" s="36"/>
    </row>
    <row r="10" spans="1:7" ht="153" x14ac:dyDescent="0.25">
      <c r="A10" s="35" t="s">
        <v>137</v>
      </c>
      <c r="B10" s="68">
        <v>46147</v>
      </c>
      <c r="C10" s="35" t="s">
        <v>138</v>
      </c>
      <c r="D10" s="35"/>
      <c r="E10" s="35"/>
      <c r="F10" s="37"/>
      <c r="G10" s="36" t="s">
        <v>160</v>
      </c>
    </row>
    <row r="11" spans="1:7" x14ac:dyDescent="0.25">
      <c r="A11" s="35"/>
      <c r="B11" s="68"/>
      <c r="C11" s="35"/>
      <c r="D11" s="35"/>
      <c r="E11" s="35"/>
      <c r="F11" s="37"/>
      <c r="G11" s="36"/>
    </row>
    <row r="12" spans="1:7" x14ac:dyDescent="0.25">
      <c r="A12" s="35"/>
      <c r="B12" s="68"/>
      <c r="C12" s="35"/>
      <c r="D12" s="35"/>
      <c r="E12" s="35"/>
      <c r="F12" s="37"/>
      <c r="G12" s="36"/>
    </row>
    <row r="13" spans="1:7" x14ac:dyDescent="0.25">
      <c r="A13" s="35"/>
      <c r="B13" s="68"/>
      <c r="C13" s="35"/>
      <c r="D13" s="35"/>
      <c r="E13" s="35"/>
      <c r="F13" s="37"/>
      <c r="G13" s="36"/>
    </row>
    <row r="14" spans="1:7" x14ac:dyDescent="0.25">
      <c r="A14" s="35"/>
      <c r="B14" s="68"/>
      <c r="C14" s="35"/>
      <c r="D14" s="35"/>
      <c r="E14" s="35"/>
      <c r="F14" s="37"/>
      <c r="G14" s="36"/>
    </row>
    <row r="15" spans="1:7" x14ac:dyDescent="0.25">
      <c r="A15" s="35"/>
      <c r="B15" s="68"/>
      <c r="C15" s="35"/>
      <c r="D15" s="35"/>
      <c r="E15" s="35"/>
      <c r="F15" s="37"/>
      <c r="G15" s="36"/>
    </row>
  </sheetData>
  <mergeCells count="7">
    <mergeCell ref="A1:G2"/>
    <mergeCell ref="A3:A4"/>
    <mergeCell ref="B3:B4"/>
    <mergeCell ref="C3:C4"/>
    <mergeCell ref="D3:D4"/>
    <mergeCell ref="E3:E4"/>
    <mergeCell ref="G3: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D15"/>
  <sheetViews>
    <sheetView zoomScale="90" zoomScaleNormal="90" workbookViewId="0">
      <selection activeCell="B37" sqref="B37"/>
    </sheetView>
  </sheetViews>
  <sheetFormatPr defaultRowHeight="12.75" x14ac:dyDescent="0.2"/>
  <cols>
    <col min="1" max="1" width="10.85546875" style="40" customWidth="1"/>
    <col min="2" max="2" width="87.42578125" style="40" customWidth="1"/>
    <col min="3" max="256" width="9.140625" style="40"/>
    <col min="257" max="257" width="10.85546875" style="40" customWidth="1"/>
    <col min="258" max="258" width="87.42578125" style="40" customWidth="1"/>
    <col min="259" max="512" width="9.140625" style="40"/>
    <col min="513" max="513" width="10.85546875" style="40" customWidth="1"/>
    <col min="514" max="514" width="87.42578125" style="40" customWidth="1"/>
    <col min="515" max="768" width="9.140625" style="40"/>
    <col min="769" max="769" width="10.85546875" style="40" customWidth="1"/>
    <col min="770" max="770" width="87.42578125" style="40" customWidth="1"/>
    <col min="771" max="1024" width="9.140625" style="40"/>
    <col min="1025" max="1025" width="10.85546875" style="40" customWidth="1"/>
    <col min="1026" max="1026" width="87.42578125" style="40" customWidth="1"/>
    <col min="1027" max="1280" width="9.140625" style="40"/>
    <col min="1281" max="1281" width="10.85546875" style="40" customWidth="1"/>
    <col min="1282" max="1282" width="87.42578125" style="40" customWidth="1"/>
    <col min="1283" max="1536" width="9.140625" style="40"/>
    <col min="1537" max="1537" width="10.85546875" style="40" customWidth="1"/>
    <col min="1538" max="1538" width="87.42578125" style="40" customWidth="1"/>
    <col min="1539" max="1792" width="9.140625" style="40"/>
    <col min="1793" max="1793" width="10.85546875" style="40" customWidth="1"/>
    <col min="1794" max="1794" width="87.42578125" style="40" customWidth="1"/>
    <col min="1795" max="2048" width="9.140625" style="40"/>
    <col min="2049" max="2049" width="10.85546875" style="40" customWidth="1"/>
    <col min="2050" max="2050" width="87.42578125" style="40" customWidth="1"/>
    <col min="2051" max="2304" width="9.140625" style="40"/>
    <col min="2305" max="2305" width="10.85546875" style="40" customWidth="1"/>
    <col min="2306" max="2306" width="87.42578125" style="40" customWidth="1"/>
    <col min="2307" max="2560" width="9.140625" style="40"/>
    <col min="2561" max="2561" width="10.85546875" style="40" customWidth="1"/>
    <col min="2562" max="2562" width="87.42578125" style="40" customWidth="1"/>
    <col min="2563" max="2816" width="9.140625" style="40"/>
    <col min="2817" max="2817" width="10.85546875" style="40" customWidth="1"/>
    <col min="2818" max="2818" width="87.42578125" style="40" customWidth="1"/>
    <col min="2819" max="3072" width="9.140625" style="40"/>
    <col min="3073" max="3073" width="10.85546875" style="40" customWidth="1"/>
    <col min="3074" max="3074" width="87.42578125" style="40" customWidth="1"/>
    <col min="3075" max="3328" width="9.140625" style="40"/>
    <col min="3329" max="3329" width="10.85546875" style="40" customWidth="1"/>
    <col min="3330" max="3330" width="87.42578125" style="40" customWidth="1"/>
    <col min="3331" max="3584" width="9.140625" style="40"/>
    <col min="3585" max="3585" width="10.85546875" style="40" customWidth="1"/>
    <col min="3586" max="3586" width="87.42578125" style="40" customWidth="1"/>
    <col min="3587" max="3840" width="9.140625" style="40"/>
    <col min="3841" max="3841" width="10.85546875" style="40" customWidth="1"/>
    <col min="3842" max="3842" width="87.42578125" style="40" customWidth="1"/>
    <col min="3843" max="4096" width="9.140625" style="40"/>
    <col min="4097" max="4097" width="10.85546875" style="40" customWidth="1"/>
    <col min="4098" max="4098" width="87.42578125" style="40" customWidth="1"/>
    <col min="4099" max="4352" width="9.140625" style="40"/>
    <col min="4353" max="4353" width="10.85546875" style="40" customWidth="1"/>
    <col min="4354" max="4354" width="87.42578125" style="40" customWidth="1"/>
    <col min="4355" max="4608" width="9.140625" style="40"/>
    <col min="4609" max="4609" width="10.85546875" style="40" customWidth="1"/>
    <col min="4610" max="4610" width="87.42578125" style="40" customWidth="1"/>
    <col min="4611" max="4864" width="9.140625" style="40"/>
    <col min="4865" max="4865" width="10.85546875" style="40" customWidth="1"/>
    <col min="4866" max="4866" width="87.42578125" style="40" customWidth="1"/>
    <col min="4867" max="5120" width="9.140625" style="40"/>
    <col min="5121" max="5121" width="10.85546875" style="40" customWidth="1"/>
    <col min="5122" max="5122" width="87.42578125" style="40" customWidth="1"/>
    <col min="5123" max="5376" width="9.140625" style="40"/>
    <col min="5377" max="5377" width="10.85546875" style="40" customWidth="1"/>
    <col min="5378" max="5378" width="87.42578125" style="40" customWidth="1"/>
    <col min="5379" max="5632" width="9.140625" style="40"/>
    <col min="5633" max="5633" width="10.85546875" style="40" customWidth="1"/>
    <col min="5634" max="5634" width="87.42578125" style="40" customWidth="1"/>
    <col min="5635" max="5888" width="9.140625" style="40"/>
    <col min="5889" max="5889" width="10.85546875" style="40" customWidth="1"/>
    <col min="5890" max="5890" width="87.42578125" style="40" customWidth="1"/>
    <col min="5891" max="6144" width="9.140625" style="40"/>
    <col min="6145" max="6145" width="10.85546875" style="40" customWidth="1"/>
    <col min="6146" max="6146" width="87.42578125" style="40" customWidth="1"/>
    <col min="6147" max="6400" width="9.140625" style="40"/>
    <col min="6401" max="6401" width="10.85546875" style="40" customWidth="1"/>
    <col min="6402" max="6402" width="87.42578125" style="40" customWidth="1"/>
    <col min="6403" max="6656" width="9.140625" style="40"/>
    <col min="6657" max="6657" width="10.85546875" style="40" customWidth="1"/>
    <col min="6658" max="6658" width="87.42578125" style="40" customWidth="1"/>
    <col min="6659" max="6912" width="9.140625" style="40"/>
    <col min="6913" max="6913" width="10.85546875" style="40" customWidth="1"/>
    <col min="6914" max="6914" width="87.42578125" style="40" customWidth="1"/>
    <col min="6915" max="7168" width="9.140625" style="40"/>
    <col min="7169" max="7169" width="10.85546875" style="40" customWidth="1"/>
    <col min="7170" max="7170" width="87.42578125" style="40" customWidth="1"/>
    <col min="7171" max="7424" width="9.140625" style="40"/>
    <col min="7425" max="7425" width="10.85546875" style="40" customWidth="1"/>
    <col min="7426" max="7426" width="87.42578125" style="40" customWidth="1"/>
    <col min="7427" max="7680" width="9.140625" style="40"/>
    <col min="7681" max="7681" width="10.85546875" style="40" customWidth="1"/>
    <col min="7682" max="7682" width="87.42578125" style="40" customWidth="1"/>
    <col min="7683" max="7936" width="9.140625" style="40"/>
    <col min="7937" max="7937" width="10.85546875" style="40" customWidth="1"/>
    <col min="7938" max="7938" width="87.42578125" style="40" customWidth="1"/>
    <col min="7939" max="8192" width="9.140625" style="40"/>
    <col min="8193" max="8193" width="10.85546875" style="40" customWidth="1"/>
    <col min="8194" max="8194" width="87.42578125" style="40" customWidth="1"/>
    <col min="8195" max="8448" width="9.140625" style="40"/>
    <col min="8449" max="8449" width="10.85546875" style="40" customWidth="1"/>
    <col min="8450" max="8450" width="87.42578125" style="40" customWidth="1"/>
    <col min="8451" max="8704" width="9.140625" style="40"/>
    <col min="8705" max="8705" width="10.85546875" style="40" customWidth="1"/>
    <col min="8706" max="8706" width="87.42578125" style="40" customWidth="1"/>
    <col min="8707" max="8960" width="9.140625" style="40"/>
    <col min="8961" max="8961" width="10.85546875" style="40" customWidth="1"/>
    <col min="8962" max="8962" width="87.42578125" style="40" customWidth="1"/>
    <col min="8963" max="9216" width="9.140625" style="40"/>
    <col min="9217" max="9217" width="10.85546875" style="40" customWidth="1"/>
    <col min="9218" max="9218" width="87.42578125" style="40" customWidth="1"/>
    <col min="9219" max="9472" width="9.140625" style="40"/>
    <col min="9473" max="9473" width="10.85546875" style="40" customWidth="1"/>
    <col min="9474" max="9474" width="87.42578125" style="40" customWidth="1"/>
    <col min="9475" max="9728" width="9.140625" style="40"/>
    <col min="9729" max="9729" width="10.85546875" style="40" customWidth="1"/>
    <col min="9730" max="9730" width="87.42578125" style="40" customWidth="1"/>
    <col min="9731" max="9984" width="9.140625" style="40"/>
    <col min="9985" max="9985" width="10.85546875" style="40" customWidth="1"/>
    <col min="9986" max="9986" width="87.42578125" style="40" customWidth="1"/>
    <col min="9987" max="10240" width="9.140625" style="40"/>
    <col min="10241" max="10241" width="10.85546875" style="40" customWidth="1"/>
    <col min="10242" max="10242" width="87.42578125" style="40" customWidth="1"/>
    <col min="10243" max="10496" width="9.140625" style="40"/>
    <col min="10497" max="10497" width="10.85546875" style="40" customWidth="1"/>
    <col min="10498" max="10498" width="87.42578125" style="40" customWidth="1"/>
    <col min="10499" max="10752" width="9.140625" style="40"/>
    <col min="10753" max="10753" width="10.85546875" style="40" customWidth="1"/>
    <col min="10754" max="10754" width="87.42578125" style="40" customWidth="1"/>
    <col min="10755" max="11008" width="9.140625" style="40"/>
    <col min="11009" max="11009" width="10.85546875" style="40" customWidth="1"/>
    <col min="11010" max="11010" width="87.42578125" style="40" customWidth="1"/>
    <col min="11011" max="11264" width="9.140625" style="40"/>
    <col min="11265" max="11265" width="10.85546875" style="40" customWidth="1"/>
    <col min="11266" max="11266" width="87.42578125" style="40" customWidth="1"/>
    <col min="11267" max="11520" width="9.140625" style="40"/>
    <col min="11521" max="11521" width="10.85546875" style="40" customWidth="1"/>
    <col min="11522" max="11522" width="87.42578125" style="40" customWidth="1"/>
    <col min="11523" max="11776" width="9.140625" style="40"/>
    <col min="11777" max="11777" width="10.85546875" style="40" customWidth="1"/>
    <col min="11778" max="11778" width="87.42578125" style="40" customWidth="1"/>
    <col min="11779" max="12032" width="9.140625" style="40"/>
    <col min="12033" max="12033" width="10.85546875" style="40" customWidth="1"/>
    <col min="12034" max="12034" width="87.42578125" style="40" customWidth="1"/>
    <col min="12035" max="12288" width="9.140625" style="40"/>
    <col min="12289" max="12289" width="10.85546875" style="40" customWidth="1"/>
    <col min="12290" max="12290" width="87.42578125" style="40" customWidth="1"/>
    <col min="12291" max="12544" width="9.140625" style="40"/>
    <col min="12545" max="12545" width="10.85546875" style="40" customWidth="1"/>
    <col min="12546" max="12546" width="87.42578125" style="40" customWidth="1"/>
    <col min="12547" max="12800" width="9.140625" style="40"/>
    <col min="12801" max="12801" width="10.85546875" style="40" customWidth="1"/>
    <col min="12802" max="12802" width="87.42578125" style="40" customWidth="1"/>
    <col min="12803" max="13056" width="9.140625" style="40"/>
    <col min="13057" max="13057" width="10.85546875" style="40" customWidth="1"/>
    <col min="13058" max="13058" width="87.42578125" style="40" customWidth="1"/>
    <col min="13059" max="13312" width="9.140625" style="40"/>
    <col min="13313" max="13313" width="10.85546875" style="40" customWidth="1"/>
    <col min="13314" max="13314" width="87.42578125" style="40" customWidth="1"/>
    <col min="13315" max="13568" width="9.140625" style="40"/>
    <col min="13569" max="13569" width="10.85546875" style="40" customWidth="1"/>
    <col min="13570" max="13570" width="87.42578125" style="40" customWidth="1"/>
    <col min="13571" max="13824" width="9.140625" style="40"/>
    <col min="13825" max="13825" width="10.85546875" style="40" customWidth="1"/>
    <col min="13826" max="13826" width="87.42578125" style="40" customWidth="1"/>
    <col min="13827" max="14080" width="9.140625" style="40"/>
    <col min="14081" max="14081" width="10.85546875" style="40" customWidth="1"/>
    <col min="14082" max="14082" width="87.42578125" style="40" customWidth="1"/>
    <col min="14083" max="14336" width="9.140625" style="40"/>
    <col min="14337" max="14337" width="10.85546875" style="40" customWidth="1"/>
    <col min="14338" max="14338" width="87.42578125" style="40" customWidth="1"/>
    <col min="14339" max="14592" width="9.140625" style="40"/>
    <col min="14593" max="14593" width="10.85546875" style="40" customWidth="1"/>
    <col min="14594" max="14594" width="87.42578125" style="40" customWidth="1"/>
    <col min="14595" max="14848" width="9.140625" style="40"/>
    <col min="14849" max="14849" width="10.85546875" style="40" customWidth="1"/>
    <col min="14850" max="14850" width="87.42578125" style="40" customWidth="1"/>
    <col min="14851" max="15104" width="9.140625" style="40"/>
    <col min="15105" max="15105" width="10.85546875" style="40" customWidth="1"/>
    <col min="15106" max="15106" width="87.42578125" style="40" customWidth="1"/>
    <col min="15107" max="15360" width="9.140625" style="40"/>
    <col min="15361" max="15361" width="10.85546875" style="40" customWidth="1"/>
    <col min="15362" max="15362" width="87.42578125" style="40" customWidth="1"/>
    <col min="15363" max="15616" width="9.140625" style="40"/>
    <col min="15617" max="15617" width="10.85546875" style="40" customWidth="1"/>
    <col min="15618" max="15618" width="87.42578125" style="40" customWidth="1"/>
    <col min="15619" max="15872" width="9.140625" style="40"/>
    <col min="15873" max="15873" width="10.85546875" style="40" customWidth="1"/>
    <col min="15874" max="15874" width="87.42578125" style="40" customWidth="1"/>
    <col min="15875" max="16128" width="9.140625" style="40"/>
    <col min="16129" max="16129" width="10.85546875" style="40" customWidth="1"/>
    <col min="16130" max="16130" width="87.42578125" style="40" customWidth="1"/>
    <col min="16131" max="16384" width="9.140625" style="40"/>
  </cols>
  <sheetData>
    <row r="1" spans="1:4" s="39" customFormat="1" x14ac:dyDescent="0.2">
      <c r="A1" s="39" t="s">
        <v>56</v>
      </c>
    </row>
    <row r="2" spans="1:4" x14ac:dyDescent="0.2">
      <c r="A2" s="40" t="s">
        <v>57</v>
      </c>
    </row>
    <row r="3" spans="1:4" x14ac:dyDescent="0.2">
      <c r="A3" s="40" t="s">
        <v>58</v>
      </c>
      <c r="B3" s="41"/>
    </row>
    <row r="4" spans="1:4" x14ac:dyDescent="0.2">
      <c r="A4" s="40" t="s">
        <v>51</v>
      </c>
    </row>
    <row r="5" spans="1:4" x14ac:dyDescent="0.2">
      <c r="A5" s="40" t="s">
        <v>59</v>
      </c>
    </row>
    <row r="6" spans="1:4" x14ac:dyDescent="0.2">
      <c r="A6" s="40" t="s">
        <v>60</v>
      </c>
    </row>
    <row r="8" spans="1:4" x14ac:dyDescent="0.2">
      <c r="A8" s="39" t="s">
        <v>61</v>
      </c>
      <c r="B8" s="39"/>
    </row>
    <row r="9" spans="1:4" x14ac:dyDescent="0.2">
      <c r="A9" s="40" t="s">
        <v>69</v>
      </c>
      <c r="B9" s="40" t="s">
        <v>77</v>
      </c>
    </row>
    <row r="13" spans="1:4" s="39" customFormat="1" x14ac:dyDescent="0.2">
      <c r="A13" s="39" t="s">
        <v>62</v>
      </c>
    </row>
    <row r="14" spans="1:4" x14ac:dyDescent="0.2">
      <c r="A14" s="39" t="s">
        <v>63</v>
      </c>
      <c r="B14" s="39" t="s">
        <v>64</v>
      </c>
      <c r="C14" s="39" t="s">
        <v>65</v>
      </c>
      <c r="D14" s="39" t="s">
        <v>66</v>
      </c>
    </row>
    <row r="15" spans="1:4" x14ac:dyDescent="0.2">
      <c r="B15" s="40" t="s">
        <v>67</v>
      </c>
    </row>
  </sheetData>
  <sheetProtection algorithmName="SHA-512" hashValue="OSFyZh4WA88wpRT5ZaS+DYgMXY737GwQCm57rbg92ZkHstINjF+n3Ivm2t/p1prx1DuS6FneZ5VmhKleBkhSkw==" saltValue="XQnWucFgBwNBbYPx7k1+vA==" spinCount="100000" sheet="1" objects="1" scenarios="1"/>
  <dataValidations count="2">
    <dataValidation type="list" allowBlank="1" showInputMessage="1" showErrorMessage="1" sqref="A15:A104" xr:uid="{00000000-0002-0000-0100-000000000000}">
      <formula1>" ,Section,Subsection,Table,Item,Chart,Tex,Figure"</formula1>
    </dataValidation>
    <dataValidation type="list" allowBlank="1" showInputMessage="1" showErrorMessage="1" sqref="WVI979658:WVI979748 A62154:A62244 IW62154:IW62244 SS62154:SS62244 ACO62154:ACO62244 AMK62154:AMK62244 AWG62154:AWG62244 BGC62154:BGC62244 BPY62154:BPY62244 BZU62154:BZU62244 CJQ62154:CJQ62244 CTM62154:CTM62244 DDI62154:DDI62244 DNE62154:DNE62244 DXA62154:DXA62244 EGW62154:EGW62244 EQS62154:EQS62244 FAO62154:FAO62244 FKK62154:FKK62244 FUG62154:FUG62244 GEC62154:GEC62244 GNY62154:GNY62244 GXU62154:GXU62244 HHQ62154:HHQ62244 HRM62154:HRM62244 IBI62154:IBI62244 ILE62154:ILE62244 IVA62154:IVA62244 JEW62154:JEW62244 JOS62154:JOS62244 JYO62154:JYO62244 KIK62154:KIK62244 KSG62154:KSG62244 LCC62154:LCC62244 LLY62154:LLY62244 LVU62154:LVU62244 MFQ62154:MFQ62244 MPM62154:MPM62244 MZI62154:MZI62244 NJE62154:NJE62244 NTA62154:NTA62244 OCW62154:OCW62244 OMS62154:OMS62244 OWO62154:OWO62244 PGK62154:PGK62244 PQG62154:PQG62244 QAC62154:QAC62244 QJY62154:QJY62244 QTU62154:QTU62244 RDQ62154:RDQ62244 RNM62154:RNM62244 RXI62154:RXI62244 SHE62154:SHE62244 SRA62154:SRA62244 TAW62154:TAW62244 TKS62154:TKS62244 TUO62154:TUO62244 UEK62154:UEK62244 UOG62154:UOG62244 UYC62154:UYC62244 VHY62154:VHY62244 VRU62154:VRU62244 WBQ62154:WBQ62244 WLM62154:WLM62244 WVI62154:WVI62244 A127690:A127780 IW127690:IW127780 SS127690:SS127780 ACO127690:ACO127780 AMK127690:AMK127780 AWG127690:AWG127780 BGC127690:BGC127780 BPY127690:BPY127780 BZU127690:BZU127780 CJQ127690:CJQ127780 CTM127690:CTM127780 DDI127690:DDI127780 DNE127690:DNE127780 DXA127690:DXA127780 EGW127690:EGW127780 EQS127690:EQS127780 FAO127690:FAO127780 FKK127690:FKK127780 FUG127690:FUG127780 GEC127690:GEC127780 GNY127690:GNY127780 GXU127690:GXU127780 HHQ127690:HHQ127780 HRM127690:HRM127780 IBI127690:IBI127780 ILE127690:ILE127780 IVA127690:IVA127780 JEW127690:JEW127780 JOS127690:JOS127780 JYO127690:JYO127780 KIK127690:KIK127780 KSG127690:KSG127780 LCC127690:LCC127780 LLY127690:LLY127780 LVU127690:LVU127780 MFQ127690:MFQ127780 MPM127690:MPM127780 MZI127690:MZI127780 NJE127690:NJE127780 NTA127690:NTA127780 OCW127690:OCW127780 OMS127690:OMS127780 OWO127690:OWO127780 PGK127690:PGK127780 PQG127690:PQG127780 QAC127690:QAC127780 QJY127690:QJY127780 QTU127690:QTU127780 RDQ127690:RDQ127780 RNM127690:RNM127780 RXI127690:RXI127780 SHE127690:SHE127780 SRA127690:SRA127780 TAW127690:TAW127780 TKS127690:TKS127780 TUO127690:TUO127780 UEK127690:UEK127780 UOG127690:UOG127780 UYC127690:UYC127780 VHY127690:VHY127780 VRU127690:VRU127780 WBQ127690:WBQ127780 WLM127690:WLM127780 WVI127690:WVI127780 A193226:A193316 IW193226:IW193316 SS193226:SS193316 ACO193226:ACO193316 AMK193226:AMK193316 AWG193226:AWG193316 BGC193226:BGC193316 BPY193226:BPY193316 BZU193226:BZU193316 CJQ193226:CJQ193316 CTM193226:CTM193316 DDI193226:DDI193316 DNE193226:DNE193316 DXA193226:DXA193316 EGW193226:EGW193316 EQS193226:EQS193316 FAO193226:FAO193316 FKK193226:FKK193316 FUG193226:FUG193316 GEC193226:GEC193316 GNY193226:GNY193316 GXU193226:GXU193316 HHQ193226:HHQ193316 HRM193226:HRM193316 IBI193226:IBI193316 ILE193226:ILE193316 IVA193226:IVA193316 JEW193226:JEW193316 JOS193226:JOS193316 JYO193226:JYO193316 KIK193226:KIK193316 KSG193226:KSG193316 LCC193226:LCC193316 LLY193226:LLY193316 LVU193226:LVU193316 MFQ193226:MFQ193316 MPM193226:MPM193316 MZI193226:MZI193316 NJE193226:NJE193316 NTA193226:NTA193316 OCW193226:OCW193316 OMS193226:OMS193316 OWO193226:OWO193316 PGK193226:PGK193316 PQG193226:PQG193316 QAC193226:QAC193316 QJY193226:QJY193316 QTU193226:QTU193316 RDQ193226:RDQ193316 RNM193226:RNM193316 RXI193226:RXI193316 SHE193226:SHE193316 SRA193226:SRA193316 TAW193226:TAW193316 TKS193226:TKS193316 TUO193226:TUO193316 UEK193226:UEK193316 UOG193226:UOG193316 UYC193226:UYC193316 VHY193226:VHY193316 VRU193226:VRU193316 WBQ193226:WBQ193316 WLM193226:WLM193316 WVI193226:WVI193316 A258762:A258852 IW258762:IW258852 SS258762:SS258852 ACO258762:ACO258852 AMK258762:AMK258852 AWG258762:AWG258852 BGC258762:BGC258852 BPY258762:BPY258852 BZU258762:BZU258852 CJQ258762:CJQ258852 CTM258762:CTM258852 DDI258762:DDI258852 DNE258762:DNE258852 DXA258762:DXA258852 EGW258762:EGW258852 EQS258762:EQS258852 FAO258762:FAO258852 FKK258762:FKK258852 FUG258762:FUG258852 GEC258762:GEC258852 GNY258762:GNY258852 GXU258762:GXU258852 HHQ258762:HHQ258852 HRM258762:HRM258852 IBI258762:IBI258852 ILE258762:ILE258852 IVA258762:IVA258852 JEW258762:JEW258852 JOS258762:JOS258852 JYO258762:JYO258852 KIK258762:KIK258852 KSG258762:KSG258852 LCC258762:LCC258852 LLY258762:LLY258852 LVU258762:LVU258852 MFQ258762:MFQ258852 MPM258762:MPM258852 MZI258762:MZI258852 NJE258762:NJE258852 NTA258762:NTA258852 OCW258762:OCW258852 OMS258762:OMS258852 OWO258762:OWO258852 PGK258762:PGK258852 PQG258762:PQG258852 QAC258762:QAC258852 QJY258762:QJY258852 QTU258762:QTU258852 RDQ258762:RDQ258852 RNM258762:RNM258852 RXI258762:RXI258852 SHE258762:SHE258852 SRA258762:SRA258852 TAW258762:TAW258852 TKS258762:TKS258852 TUO258762:TUO258852 UEK258762:UEK258852 UOG258762:UOG258852 UYC258762:UYC258852 VHY258762:VHY258852 VRU258762:VRU258852 WBQ258762:WBQ258852 WLM258762:WLM258852 WVI258762:WVI258852 A324298:A324388 IW324298:IW324388 SS324298:SS324388 ACO324298:ACO324388 AMK324298:AMK324388 AWG324298:AWG324388 BGC324298:BGC324388 BPY324298:BPY324388 BZU324298:BZU324388 CJQ324298:CJQ324388 CTM324298:CTM324388 DDI324298:DDI324388 DNE324298:DNE324388 DXA324298:DXA324388 EGW324298:EGW324388 EQS324298:EQS324388 FAO324298:FAO324388 FKK324298:FKK324388 FUG324298:FUG324388 GEC324298:GEC324388 GNY324298:GNY324388 GXU324298:GXU324388 HHQ324298:HHQ324388 HRM324298:HRM324388 IBI324298:IBI324388 ILE324298:ILE324388 IVA324298:IVA324388 JEW324298:JEW324388 JOS324298:JOS324388 JYO324298:JYO324388 KIK324298:KIK324388 KSG324298:KSG324388 LCC324298:LCC324388 LLY324298:LLY324388 LVU324298:LVU324388 MFQ324298:MFQ324388 MPM324298:MPM324388 MZI324298:MZI324388 NJE324298:NJE324388 NTA324298:NTA324388 OCW324298:OCW324388 OMS324298:OMS324388 OWO324298:OWO324388 PGK324298:PGK324388 PQG324298:PQG324388 QAC324298:QAC324388 QJY324298:QJY324388 QTU324298:QTU324388 RDQ324298:RDQ324388 RNM324298:RNM324388 RXI324298:RXI324388 SHE324298:SHE324388 SRA324298:SRA324388 TAW324298:TAW324388 TKS324298:TKS324388 TUO324298:TUO324388 UEK324298:UEK324388 UOG324298:UOG324388 UYC324298:UYC324388 VHY324298:VHY324388 VRU324298:VRU324388 WBQ324298:WBQ324388 WLM324298:WLM324388 WVI324298:WVI324388 A389834:A389924 IW389834:IW389924 SS389834:SS389924 ACO389834:ACO389924 AMK389834:AMK389924 AWG389834:AWG389924 BGC389834:BGC389924 BPY389834:BPY389924 BZU389834:BZU389924 CJQ389834:CJQ389924 CTM389834:CTM389924 DDI389834:DDI389924 DNE389834:DNE389924 DXA389834:DXA389924 EGW389834:EGW389924 EQS389834:EQS389924 FAO389834:FAO389924 FKK389834:FKK389924 FUG389834:FUG389924 GEC389834:GEC389924 GNY389834:GNY389924 GXU389834:GXU389924 HHQ389834:HHQ389924 HRM389834:HRM389924 IBI389834:IBI389924 ILE389834:ILE389924 IVA389834:IVA389924 JEW389834:JEW389924 JOS389834:JOS389924 JYO389834:JYO389924 KIK389834:KIK389924 KSG389834:KSG389924 LCC389834:LCC389924 LLY389834:LLY389924 LVU389834:LVU389924 MFQ389834:MFQ389924 MPM389834:MPM389924 MZI389834:MZI389924 NJE389834:NJE389924 NTA389834:NTA389924 OCW389834:OCW389924 OMS389834:OMS389924 OWO389834:OWO389924 PGK389834:PGK389924 PQG389834:PQG389924 QAC389834:QAC389924 QJY389834:QJY389924 QTU389834:QTU389924 RDQ389834:RDQ389924 RNM389834:RNM389924 RXI389834:RXI389924 SHE389834:SHE389924 SRA389834:SRA389924 TAW389834:TAW389924 TKS389834:TKS389924 TUO389834:TUO389924 UEK389834:UEK389924 UOG389834:UOG389924 UYC389834:UYC389924 VHY389834:VHY389924 VRU389834:VRU389924 WBQ389834:WBQ389924 WLM389834:WLM389924 WVI389834:WVI389924 A455370:A455460 IW455370:IW455460 SS455370:SS455460 ACO455370:ACO455460 AMK455370:AMK455460 AWG455370:AWG455460 BGC455370:BGC455460 BPY455370:BPY455460 BZU455370:BZU455460 CJQ455370:CJQ455460 CTM455370:CTM455460 DDI455370:DDI455460 DNE455370:DNE455460 DXA455370:DXA455460 EGW455370:EGW455460 EQS455370:EQS455460 FAO455370:FAO455460 FKK455370:FKK455460 FUG455370:FUG455460 GEC455370:GEC455460 GNY455370:GNY455460 GXU455370:GXU455460 HHQ455370:HHQ455460 HRM455370:HRM455460 IBI455370:IBI455460 ILE455370:ILE455460 IVA455370:IVA455460 JEW455370:JEW455460 JOS455370:JOS455460 JYO455370:JYO455460 KIK455370:KIK455460 KSG455370:KSG455460 LCC455370:LCC455460 LLY455370:LLY455460 LVU455370:LVU455460 MFQ455370:MFQ455460 MPM455370:MPM455460 MZI455370:MZI455460 NJE455370:NJE455460 NTA455370:NTA455460 OCW455370:OCW455460 OMS455370:OMS455460 OWO455370:OWO455460 PGK455370:PGK455460 PQG455370:PQG455460 QAC455370:QAC455460 QJY455370:QJY455460 QTU455370:QTU455460 RDQ455370:RDQ455460 RNM455370:RNM455460 RXI455370:RXI455460 SHE455370:SHE455460 SRA455370:SRA455460 TAW455370:TAW455460 TKS455370:TKS455460 TUO455370:TUO455460 UEK455370:UEK455460 UOG455370:UOG455460 UYC455370:UYC455460 VHY455370:VHY455460 VRU455370:VRU455460 WBQ455370:WBQ455460 WLM455370:WLM455460 WVI455370:WVI455460 A520906:A520996 IW520906:IW520996 SS520906:SS520996 ACO520906:ACO520996 AMK520906:AMK520996 AWG520906:AWG520996 BGC520906:BGC520996 BPY520906:BPY520996 BZU520906:BZU520996 CJQ520906:CJQ520996 CTM520906:CTM520996 DDI520906:DDI520996 DNE520906:DNE520996 DXA520906:DXA520996 EGW520906:EGW520996 EQS520906:EQS520996 FAO520906:FAO520996 FKK520906:FKK520996 FUG520906:FUG520996 GEC520906:GEC520996 GNY520906:GNY520996 GXU520906:GXU520996 HHQ520906:HHQ520996 HRM520906:HRM520996 IBI520906:IBI520996 ILE520906:ILE520996 IVA520906:IVA520996 JEW520906:JEW520996 JOS520906:JOS520996 JYO520906:JYO520996 KIK520906:KIK520996 KSG520906:KSG520996 LCC520906:LCC520996 LLY520906:LLY520996 LVU520906:LVU520996 MFQ520906:MFQ520996 MPM520906:MPM520996 MZI520906:MZI520996 NJE520906:NJE520996 NTA520906:NTA520996 OCW520906:OCW520996 OMS520906:OMS520996 OWO520906:OWO520996 PGK520906:PGK520996 PQG520906:PQG520996 QAC520906:QAC520996 QJY520906:QJY520996 QTU520906:QTU520996 RDQ520906:RDQ520996 RNM520906:RNM520996 RXI520906:RXI520996 SHE520906:SHE520996 SRA520906:SRA520996 TAW520906:TAW520996 TKS520906:TKS520996 TUO520906:TUO520996 UEK520906:UEK520996 UOG520906:UOG520996 UYC520906:UYC520996 VHY520906:VHY520996 VRU520906:VRU520996 WBQ520906:WBQ520996 WLM520906:WLM520996 WVI520906:WVI520996 A586442:A586532 IW586442:IW586532 SS586442:SS586532 ACO586442:ACO586532 AMK586442:AMK586532 AWG586442:AWG586532 BGC586442:BGC586532 BPY586442:BPY586532 BZU586442:BZU586532 CJQ586442:CJQ586532 CTM586442:CTM586532 DDI586442:DDI586532 DNE586442:DNE586532 DXA586442:DXA586532 EGW586442:EGW586532 EQS586442:EQS586532 FAO586442:FAO586532 FKK586442:FKK586532 FUG586442:FUG586532 GEC586442:GEC586532 GNY586442:GNY586532 GXU586442:GXU586532 HHQ586442:HHQ586532 HRM586442:HRM586532 IBI586442:IBI586532 ILE586442:ILE586532 IVA586442:IVA586532 JEW586442:JEW586532 JOS586442:JOS586532 JYO586442:JYO586532 KIK586442:KIK586532 KSG586442:KSG586532 LCC586442:LCC586532 LLY586442:LLY586532 LVU586442:LVU586532 MFQ586442:MFQ586532 MPM586442:MPM586532 MZI586442:MZI586532 NJE586442:NJE586532 NTA586442:NTA586532 OCW586442:OCW586532 OMS586442:OMS586532 OWO586442:OWO586532 PGK586442:PGK586532 PQG586442:PQG586532 QAC586442:QAC586532 QJY586442:QJY586532 QTU586442:QTU586532 RDQ586442:RDQ586532 RNM586442:RNM586532 RXI586442:RXI586532 SHE586442:SHE586532 SRA586442:SRA586532 TAW586442:TAW586532 TKS586442:TKS586532 TUO586442:TUO586532 UEK586442:UEK586532 UOG586442:UOG586532 UYC586442:UYC586532 VHY586442:VHY586532 VRU586442:VRU586532 WBQ586442:WBQ586532 WLM586442:WLM586532 WVI586442:WVI586532 A651978:A652068 IW651978:IW652068 SS651978:SS652068 ACO651978:ACO652068 AMK651978:AMK652068 AWG651978:AWG652068 BGC651978:BGC652068 BPY651978:BPY652068 BZU651978:BZU652068 CJQ651978:CJQ652068 CTM651978:CTM652068 DDI651978:DDI652068 DNE651978:DNE652068 DXA651978:DXA652068 EGW651978:EGW652068 EQS651978:EQS652068 FAO651978:FAO652068 FKK651978:FKK652068 FUG651978:FUG652068 GEC651978:GEC652068 GNY651978:GNY652068 GXU651978:GXU652068 HHQ651978:HHQ652068 HRM651978:HRM652068 IBI651978:IBI652068 ILE651978:ILE652068 IVA651978:IVA652068 JEW651978:JEW652068 JOS651978:JOS652068 JYO651978:JYO652068 KIK651978:KIK652068 KSG651978:KSG652068 LCC651978:LCC652068 LLY651978:LLY652068 LVU651978:LVU652068 MFQ651978:MFQ652068 MPM651978:MPM652068 MZI651978:MZI652068 NJE651978:NJE652068 NTA651978:NTA652068 OCW651978:OCW652068 OMS651978:OMS652068 OWO651978:OWO652068 PGK651978:PGK652068 PQG651978:PQG652068 QAC651978:QAC652068 QJY651978:QJY652068 QTU651978:QTU652068 RDQ651978:RDQ652068 RNM651978:RNM652068 RXI651978:RXI652068 SHE651978:SHE652068 SRA651978:SRA652068 TAW651978:TAW652068 TKS651978:TKS652068 TUO651978:TUO652068 UEK651978:UEK652068 UOG651978:UOG652068 UYC651978:UYC652068 VHY651978:VHY652068 VRU651978:VRU652068 WBQ651978:WBQ652068 WLM651978:WLM652068 WVI651978:WVI652068 A717514:A717604 IW717514:IW717604 SS717514:SS717604 ACO717514:ACO717604 AMK717514:AMK717604 AWG717514:AWG717604 BGC717514:BGC717604 BPY717514:BPY717604 BZU717514:BZU717604 CJQ717514:CJQ717604 CTM717514:CTM717604 DDI717514:DDI717604 DNE717514:DNE717604 DXA717514:DXA717604 EGW717514:EGW717604 EQS717514:EQS717604 FAO717514:FAO717604 FKK717514:FKK717604 FUG717514:FUG717604 GEC717514:GEC717604 GNY717514:GNY717604 GXU717514:GXU717604 HHQ717514:HHQ717604 HRM717514:HRM717604 IBI717514:IBI717604 ILE717514:ILE717604 IVA717514:IVA717604 JEW717514:JEW717604 JOS717514:JOS717604 JYO717514:JYO717604 KIK717514:KIK717604 KSG717514:KSG717604 LCC717514:LCC717604 LLY717514:LLY717604 LVU717514:LVU717604 MFQ717514:MFQ717604 MPM717514:MPM717604 MZI717514:MZI717604 NJE717514:NJE717604 NTA717514:NTA717604 OCW717514:OCW717604 OMS717514:OMS717604 OWO717514:OWO717604 PGK717514:PGK717604 PQG717514:PQG717604 QAC717514:QAC717604 QJY717514:QJY717604 QTU717514:QTU717604 RDQ717514:RDQ717604 RNM717514:RNM717604 RXI717514:RXI717604 SHE717514:SHE717604 SRA717514:SRA717604 TAW717514:TAW717604 TKS717514:TKS717604 TUO717514:TUO717604 UEK717514:UEK717604 UOG717514:UOG717604 UYC717514:UYC717604 VHY717514:VHY717604 VRU717514:VRU717604 WBQ717514:WBQ717604 WLM717514:WLM717604 WVI717514:WVI717604 A783050:A783140 IW783050:IW783140 SS783050:SS783140 ACO783050:ACO783140 AMK783050:AMK783140 AWG783050:AWG783140 BGC783050:BGC783140 BPY783050:BPY783140 BZU783050:BZU783140 CJQ783050:CJQ783140 CTM783050:CTM783140 DDI783050:DDI783140 DNE783050:DNE783140 DXA783050:DXA783140 EGW783050:EGW783140 EQS783050:EQS783140 FAO783050:FAO783140 FKK783050:FKK783140 FUG783050:FUG783140 GEC783050:GEC783140 GNY783050:GNY783140 GXU783050:GXU783140 HHQ783050:HHQ783140 HRM783050:HRM783140 IBI783050:IBI783140 ILE783050:ILE783140 IVA783050:IVA783140 JEW783050:JEW783140 JOS783050:JOS783140 JYO783050:JYO783140 KIK783050:KIK783140 KSG783050:KSG783140 LCC783050:LCC783140 LLY783050:LLY783140 LVU783050:LVU783140 MFQ783050:MFQ783140 MPM783050:MPM783140 MZI783050:MZI783140 NJE783050:NJE783140 NTA783050:NTA783140 OCW783050:OCW783140 OMS783050:OMS783140 OWO783050:OWO783140 PGK783050:PGK783140 PQG783050:PQG783140 QAC783050:QAC783140 QJY783050:QJY783140 QTU783050:QTU783140 RDQ783050:RDQ783140 RNM783050:RNM783140 RXI783050:RXI783140 SHE783050:SHE783140 SRA783050:SRA783140 TAW783050:TAW783140 TKS783050:TKS783140 TUO783050:TUO783140 UEK783050:UEK783140 UOG783050:UOG783140 UYC783050:UYC783140 VHY783050:VHY783140 VRU783050:VRU783140 WBQ783050:WBQ783140 WLM783050:WLM783140 WVI783050:WVI783140 A848586:A848676 IW848586:IW848676 SS848586:SS848676 ACO848586:ACO848676 AMK848586:AMK848676 AWG848586:AWG848676 BGC848586:BGC848676 BPY848586:BPY848676 BZU848586:BZU848676 CJQ848586:CJQ848676 CTM848586:CTM848676 DDI848586:DDI848676 DNE848586:DNE848676 DXA848586:DXA848676 EGW848586:EGW848676 EQS848586:EQS848676 FAO848586:FAO848676 FKK848586:FKK848676 FUG848586:FUG848676 GEC848586:GEC848676 GNY848586:GNY848676 GXU848586:GXU848676 HHQ848586:HHQ848676 HRM848586:HRM848676 IBI848586:IBI848676 ILE848586:ILE848676 IVA848586:IVA848676 JEW848586:JEW848676 JOS848586:JOS848676 JYO848586:JYO848676 KIK848586:KIK848676 KSG848586:KSG848676 LCC848586:LCC848676 LLY848586:LLY848676 LVU848586:LVU848676 MFQ848586:MFQ848676 MPM848586:MPM848676 MZI848586:MZI848676 NJE848586:NJE848676 NTA848586:NTA848676 OCW848586:OCW848676 OMS848586:OMS848676 OWO848586:OWO848676 PGK848586:PGK848676 PQG848586:PQG848676 QAC848586:QAC848676 QJY848586:QJY848676 QTU848586:QTU848676 RDQ848586:RDQ848676 RNM848586:RNM848676 RXI848586:RXI848676 SHE848586:SHE848676 SRA848586:SRA848676 TAW848586:TAW848676 TKS848586:TKS848676 TUO848586:TUO848676 UEK848586:UEK848676 UOG848586:UOG848676 UYC848586:UYC848676 VHY848586:VHY848676 VRU848586:VRU848676 WBQ848586:WBQ848676 WLM848586:WLM848676 WVI848586:WVI848676 A914122:A914212 IW914122:IW914212 SS914122:SS914212 ACO914122:ACO914212 AMK914122:AMK914212 AWG914122:AWG914212 BGC914122:BGC914212 BPY914122:BPY914212 BZU914122:BZU914212 CJQ914122:CJQ914212 CTM914122:CTM914212 DDI914122:DDI914212 DNE914122:DNE914212 DXA914122:DXA914212 EGW914122:EGW914212 EQS914122:EQS914212 FAO914122:FAO914212 FKK914122:FKK914212 FUG914122:FUG914212 GEC914122:GEC914212 GNY914122:GNY914212 GXU914122:GXU914212 HHQ914122:HHQ914212 HRM914122:HRM914212 IBI914122:IBI914212 ILE914122:ILE914212 IVA914122:IVA914212 JEW914122:JEW914212 JOS914122:JOS914212 JYO914122:JYO914212 KIK914122:KIK914212 KSG914122:KSG914212 LCC914122:LCC914212 LLY914122:LLY914212 LVU914122:LVU914212 MFQ914122:MFQ914212 MPM914122:MPM914212 MZI914122:MZI914212 NJE914122:NJE914212 NTA914122:NTA914212 OCW914122:OCW914212 OMS914122:OMS914212 OWO914122:OWO914212 PGK914122:PGK914212 PQG914122:PQG914212 QAC914122:QAC914212 QJY914122:QJY914212 QTU914122:QTU914212 RDQ914122:RDQ914212 RNM914122:RNM914212 RXI914122:RXI914212 SHE914122:SHE914212 SRA914122:SRA914212 TAW914122:TAW914212 TKS914122:TKS914212 TUO914122:TUO914212 UEK914122:UEK914212 UOG914122:UOG914212 UYC914122:UYC914212 VHY914122:VHY914212 VRU914122:VRU914212 WBQ914122:WBQ914212 WLM914122:WLM914212 WVI914122:WVI914212 A979658:A979748 IW979658:IW979748 SS979658:SS979748 ACO979658:ACO979748 AMK979658:AMK979748 AWG979658:AWG979748 BGC979658:BGC979748 BPY979658:BPY979748 BZU979658:BZU979748 CJQ979658:CJQ979748 CTM979658:CTM979748 DDI979658:DDI979748 DNE979658:DNE979748 DXA979658:DXA979748 EGW979658:EGW979748 EQS979658:EQS979748 FAO979658:FAO979748 FKK979658:FKK979748 FUG979658:FUG979748 GEC979658:GEC979748 GNY979658:GNY979748 GXU979658:GXU979748 HHQ979658:HHQ979748 HRM979658:HRM979748 IBI979658:IBI979748 ILE979658:ILE979748 IVA979658:IVA979748 JEW979658:JEW979748 JOS979658:JOS979748 JYO979658:JYO979748 KIK979658:KIK979748 KSG979658:KSG979748 LCC979658:LCC979748 LLY979658:LLY979748 LVU979658:LVU979748 MFQ979658:MFQ979748 MPM979658:MPM979748 MZI979658:MZI979748 NJE979658:NJE979748 NTA979658:NTA979748 OCW979658:OCW979748 OMS979658:OMS979748 OWO979658:OWO979748 PGK979658:PGK979748 PQG979658:PQG979748 QAC979658:QAC979748 QJY979658:QJY979748 QTU979658:QTU979748 RDQ979658:RDQ979748 RNM979658:RNM979748 RXI979658:RXI979748 SHE979658:SHE979748 SRA979658:SRA979748 TAW979658:TAW979748 TKS979658:TKS979748 TUO979658:TUO979748 UEK979658:UEK979748 UOG979658:UOG979748 UYC979658:UYC979748 VHY979658:VHY979748 VRU979658:VRU979748 WBQ979658:WBQ979748 WLM979658:WLM979748 WVI14 WLM14 WBQ14 VRU14 VHY14 UYC14 UOG14 UEK14 TUO14 TKS14 TAW14 SRA14 SHE14 RXI14 RNM14 RDQ14 QTU14 QJY14 QAC14 PQG14 PGK14 OWO14 OMS14 OCW14 NTA14 NJE14 MZI14 MPM14 MFQ14 LVU14 LLY14 LCC14 KSG14 KIK14 JYO14 JOS14 JEW14 IVA14 ILE14 IBI14 HRM14 HHQ14 GXU14 GNY14 GEC14 FUG14 FKK14 FAO14 EQS14 EGW14 DXA14 DNE14 DDI14 CTM14 CJQ14 BZU14 BPY14 BGC14 AWG14 AMK14 ACO14 SS14 IW14" xr:uid="{00000000-0002-0000-0100-000001000000}">
      <formula1>" ,Section,Subsection,Table,Tex,Figure"</formula1>
    </dataValidation>
  </dataValidations>
  <printOptions horizontalCentered="1"/>
  <pageMargins left="0.51181102362204722" right="0.51181102362204722" top="0.74803149606299213" bottom="0.51181102362204722" header="0.11811023622047245" footer="0.11811023622047245"/>
  <pageSetup paperSize="9" orientation="landscape" r:id="rId1"/>
  <headerFooter alignWithMargins="0">
    <oddHeader>&amp;L© 2019 Bajaj Auto Limited&amp;CBAL Confidential&amp;R&amp;D &amp;T</oddHeader>
    <oddFooter>&amp;LPrepared by: Philip Jose&amp;C&amp;F:&amp;A&amp;R&amp;P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BU261"/>
  <sheetViews>
    <sheetView zoomScaleNormal="100" workbookViewId="0">
      <pane xSplit="1" ySplit="2" topLeftCell="B3" activePane="bottomRight" state="frozen"/>
      <selection activeCell="A2" sqref="A2"/>
      <selection pane="topRight" activeCell="B2" sqref="B2"/>
      <selection pane="bottomLeft" activeCell="A3" sqref="A3"/>
      <selection pane="bottomRight" activeCell="M7" sqref="M7"/>
    </sheetView>
  </sheetViews>
  <sheetFormatPr defaultColWidth="9.140625" defaultRowHeight="15" x14ac:dyDescent="0.25"/>
  <cols>
    <col min="1" max="1" width="10.28515625" style="8" bestFit="1" customWidth="1"/>
    <col min="2" max="2" width="10.7109375" style="6" customWidth="1"/>
    <col min="3" max="3" width="7.140625" style="5" customWidth="1"/>
    <col min="4" max="6" width="3.5703125" style="2" customWidth="1"/>
    <col min="7" max="7" width="3.5703125" style="5" customWidth="1"/>
    <col min="8" max="8" width="14.28515625" style="9" customWidth="1"/>
    <col min="9" max="9" width="14.28515625" style="32" customWidth="1"/>
    <col min="10" max="10" width="18.5703125" style="62" customWidth="1"/>
    <col min="11" max="11" width="14.28515625" style="2" customWidth="1"/>
    <col min="12" max="12" width="38.5703125" style="5" bestFit="1" customWidth="1"/>
    <col min="13" max="13" width="7.140625" style="3" customWidth="1"/>
    <col min="14" max="20" width="3.5703125" style="2" customWidth="1"/>
    <col min="21" max="21" width="3.5703125" style="5" customWidth="1"/>
    <col min="22" max="22" width="11.42578125" style="23" bestFit="1" customWidth="1"/>
    <col min="23" max="23" width="7.140625" style="3" customWidth="1"/>
    <col min="24" max="26" width="3.5703125" style="2" customWidth="1"/>
    <col min="27" max="27" width="3.5703125" style="5" customWidth="1"/>
    <col min="28" max="28" width="14.28515625" style="26" customWidth="1"/>
    <col min="29" max="29" width="7.140625" style="2" customWidth="1"/>
    <col min="30" max="44" width="3.5703125" style="2" customWidth="1"/>
    <col min="45" max="45" width="3.5703125" style="5" customWidth="1"/>
    <col min="46" max="46" width="10.7109375" style="6" customWidth="1"/>
    <col min="47" max="47" width="7.140625" style="5" customWidth="1"/>
    <col min="48" max="54" width="3.5703125" style="2" hidden="1" customWidth="1"/>
    <col min="55" max="55" width="3.5703125" style="5" hidden="1" customWidth="1"/>
    <col min="56" max="56" width="7.140625" style="23" customWidth="1"/>
    <col min="57" max="57" width="7.140625" style="2" customWidth="1"/>
    <col min="58" max="73" width="3.5703125" style="2" hidden="1" customWidth="1"/>
    <col min="74" max="16384" width="9.140625" style="2"/>
  </cols>
  <sheetData>
    <row r="1" spans="1:73" hidden="1" x14ac:dyDescent="0.25">
      <c r="B1" s="8">
        <f>SUMPRODUCT(MAX((A:A&lt;&gt;"")*(ROW(A:A))))</f>
        <v>6</v>
      </c>
    </row>
    <row r="2" spans="1:73" s="4" customFormat="1" x14ac:dyDescent="0.25">
      <c r="A2" s="8" t="s">
        <v>16</v>
      </c>
      <c r="B2" s="94" t="s">
        <v>91</v>
      </c>
      <c r="C2" s="95"/>
      <c r="D2" s="95"/>
      <c r="E2" s="95"/>
      <c r="F2" s="95"/>
      <c r="G2" s="96"/>
      <c r="H2" s="98" t="s">
        <v>26</v>
      </c>
      <c r="I2" s="99"/>
      <c r="J2" s="99"/>
      <c r="K2" s="99"/>
      <c r="L2" s="99"/>
      <c r="M2" s="99"/>
      <c r="N2" s="30"/>
      <c r="O2" s="30"/>
      <c r="P2" s="30"/>
      <c r="Q2" s="30"/>
      <c r="R2" s="30"/>
      <c r="S2" s="30"/>
      <c r="T2" s="30"/>
      <c r="U2" s="31"/>
      <c r="V2" s="94" t="s">
        <v>27</v>
      </c>
      <c r="W2" s="95"/>
      <c r="X2" s="95"/>
      <c r="Y2" s="95"/>
      <c r="Z2" s="95"/>
      <c r="AA2" s="96"/>
      <c r="AB2" s="94" t="s">
        <v>28</v>
      </c>
      <c r="AC2" s="95"/>
      <c r="AD2" s="95"/>
      <c r="AE2" s="95"/>
      <c r="AF2" s="95"/>
      <c r="AG2" s="95"/>
      <c r="AH2" s="95"/>
      <c r="AI2" s="95"/>
      <c r="AJ2" s="95"/>
      <c r="AK2" s="95"/>
      <c r="AL2" s="95"/>
      <c r="AM2" s="95"/>
      <c r="AN2" s="95"/>
      <c r="AO2" s="95"/>
      <c r="AP2" s="95"/>
      <c r="AQ2" s="95"/>
      <c r="AR2" s="95"/>
      <c r="AS2" s="96"/>
      <c r="AT2" s="94" t="s">
        <v>41</v>
      </c>
      <c r="AU2" s="95"/>
      <c r="AV2" s="95"/>
      <c r="AW2" s="95"/>
      <c r="AX2" s="95"/>
      <c r="AY2" s="95"/>
      <c r="AZ2" s="95"/>
      <c r="BA2" s="95"/>
      <c r="BB2" s="95"/>
      <c r="BC2" s="96"/>
      <c r="BD2" s="94" t="s">
        <v>29</v>
      </c>
      <c r="BE2" s="95"/>
      <c r="BF2" s="95"/>
      <c r="BG2" s="95"/>
      <c r="BH2" s="95"/>
      <c r="BI2" s="95"/>
      <c r="BJ2" s="95"/>
      <c r="BK2" s="95"/>
      <c r="BL2" s="95"/>
      <c r="BM2" s="95"/>
      <c r="BN2" s="95"/>
      <c r="BO2" s="95"/>
      <c r="BP2" s="95"/>
      <c r="BQ2" s="95"/>
      <c r="BR2" s="95"/>
      <c r="BS2" s="95"/>
      <c r="BT2" s="95"/>
      <c r="BU2" s="96"/>
    </row>
    <row r="3" spans="1:73" s="4" customFormat="1" x14ac:dyDescent="0.25">
      <c r="A3" s="8" t="s">
        <v>15</v>
      </c>
      <c r="B3" s="18"/>
      <c r="C3" s="8" t="s">
        <v>37</v>
      </c>
      <c r="G3" s="8"/>
      <c r="H3" s="25" t="s">
        <v>30</v>
      </c>
      <c r="I3" s="13" t="s">
        <v>42</v>
      </c>
      <c r="J3" s="63" t="s">
        <v>43</v>
      </c>
      <c r="K3" s="13" t="s">
        <v>31</v>
      </c>
      <c r="L3" s="8" t="s">
        <v>32</v>
      </c>
      <c r="M3" s="22" t="s">
        <v>37</v>
      </c>
      <c r="U3" s="8"/>
      <c r="V3" s="24" t="s">
        <v>38</v>
      </c>
      <c r="W3" s="22" t="s">
        <v>37</v>
      </c>
      <c r="AA3" s="8"/>
      <c r="AB3" s="27" t="s">
        <v>25</v>
      </c>
      <c r="AC3" s="4" t="s">
        <v>37</v>
      </c>
      <c r="AD3" s="97" t="s">
        <v>20</v>
      </c>
      <c r="AE3" s="97"/>
      <c r="AF3" s="97"/>
      <c r="AG3" s="97"/>
      <c r="AH3" s="97"/>
      <c r="AI3" s="97"/>
      <c r="AJ3" s="97"/>
      <c r="AK3" s="97" t="s">
        <v>21</v>
      </c>
      <c r="AL3" s="97"/>
      <c r="AM3" s="97"/>
      <c r="AN3" s="97"/>
      <c r="AO3" s="97" t="s">
        <v>22</v>
      </c>
      <c r="AP3" s="97"/>
      <c r="AQ3" s="97"/>
      <c r="AR3" s="97"/>
      <c r="AS3" s="97"/>
      <c r="AT3" s="18"/>
      <c r="AU3" s="8" t="s">
        <v>37</v>
      </c>
      <c r="BC3" s="8"/>
      <c r="BD3" s="24" t="s">
        <v>39</v>
      </c>
      <c r="BE3" s="4" t="s">
        <v>37</v>
      </c>
    </row>
    <row r="4" spans="1:73" x14ac:dyDescent="0.25">
      <c r="A4" s="8" t="s">
        <v>17</v>
      </c>
      <c r="C4" s="5" t="str">
        <f>DEC2HEX(0,1)</f>
        <v>0</v>
      </c>
      <c r="D4" s="2">
        <v>0</v>
      </c>
      <c r="E4" s="2">
        <v>0</v>
      </c>
      <c r="F4" s="2">
        <v>0</v>
      </c>
      <c r="G4" s="5">
        <v>0</v>
      </c>
      <c r="AB4" s="28">
        <v>20000101</v>
      </c>
      <c r="AC4" s="7" t="s">
        <v>35</v>
      </c>
      <c r="AD4" s="2">
        <v>0</v>
      </c>
      <c r="AE4" s="2">
        <v>0</v>
      </c>
      <c r="AF4" s="2">
        <v>0</v>
      </c>
      <c r="AG4" s="2">
        <v>0</v>
      </c>
      <c r="AH4" s="2">
        <v>0</v>
      </c>
      <c r="AI4" s="2">
        <v>0</v>
      </c>
      <c r="AJ4" s="2">
        <v>0</v>
      </c>
      <c r="AK4" s="2">
        <v>0</v>
      </c>
      <c r="AL4" s="2">
        <v>0</v>
      </c>
      <c r="AM4" s="2">
        <v>0</v>
      </c>
      <c r="AN4" s="2">
        <v>1</v>
      </c>
      <c r="AO4" s="2">
        <v>0</v>
      </c>
      <c r="AP4" s="2">
        <v>0</v>
      </c>
      <c r="AQ4" s="2">
        <v>0</v>
      </c>
      <c r="AR4" s="2">
        <v>0</v>
      </c>
      <c r="AS4" s="5">
        <v>1</v>
      </c>
      <c r="AT4" s="6">
        <v>0</v>
      </c>
      <c r="AU4" s="2" t="str">
        <f>DEC2HEX(AT4,1)</f>
        <v>0</v>
      </c>
      <c r="AV4" s="2">
        <v>0</v>
      </c>
      <c r="AW4" s="2">
        <v>0</v>
      </c>
      <c r="AX4" s="2">
        <v>0</v>
      </c>
      <c r="AY4" s="2">
        <v>0</v>
      </c>
      <c r="AZ4" s="2">
        <v>0</v>
      </c>
      <c r="BA4" s="2">
        <v>0</v>
      </c>
      <c r="BB4" s="2">
        <v>0</v>
      </c>
      <c r="BC4" s="5">
        <v>0</v>
      </c>
      <c r="BD4" s="23">
        <f>HEX2DEC(BE4)</f>
        <v>0</v>
      </c>
      <c r="BE4" s="2" t="str">
        <f>DEC2HEX(0,4)</f>
        <v>0000</v>
      </c>
      <c r="BF4" s="2">
        <v>0</v>
      </c>
      <c r="BG4" s="2">
        <v>0</v>
      </c>
      <c r="BH4" s="2">
        <v>0</v>
      </c>
      <c r="BI4" s="2">
        <v>0</v>
      </c>
      <c r="BJ4" s="2">
        <v>0</v>
      </c>
      <c r="BK4" s="2">
        <v>0</v>
      </c>
      <c r="BL4" s="2">
        <v>0</v>
      </c>
      <c r="BM4" s="2">
        <v>0</v>
      </c>
      <c r="BN4" s="2">
        <v>0</v>
      </c>
      <c r="BO4" s="2">
        <v>0</v>
      </c>
      <c r="BP4" s="2">
        <v>0</v>
      </c>
      <c r="BQ4" s="2">
        <v>0</v>
      </c>
      <c r="BR4" s="2">
        <v>0</v>
      </c>
      <c r="BS4" s="2">
        <v>0</v>
      </c>
      <c r="BT4" s="2">
        <v>0</v>
      </c>
      <c r="BU4" s="2">
        <v>0</v>
      </c>
    </row>
    <row r="5" spans="1:73" x14ac:dyDescent="0.25">
      <c r="A5" s="8" t="s">
        <v>18</v>
      </c>
      <c r="C5" s="5" t="str">
        <f>DEC2HEX(0,1)</f>
        <v>0</v>
      </c>
      <c r="D5" s="2">
        <v>0</v>
      </c>
      <c r="E5" s="2">
        <v>0</v>
      </c>
      <c r="F5" s="2">
        <v>0</v>
      </c>
      <c r="G5" s="5">
        <v>0</v>
      </c>
      <c r="AB5" s="28">
        <v>21271231</v>
      </c>
      <c r="AC5" s="7" t="s">
        <v>36</v>
      </c>
      <c r="AD5" s="2">
        <v>1</v>
      </c>
      <c r="AE5" s="2">
        <v>1</v>
      </c>
      <c r="AF5" s="2">
        <v>1</v>
      </c>
      <c r="AG5" s="2">
        <v>1</v>
      </c>
      <c r="AH5" s="2">
        <v>1</v>
      </c>
      <c r="AI5" s="2">
        <v>1</v>
      </c>
      <c r="AJ5" s="2">
        <v>1</v>
      </c>
      <c r="AK5" s="2">
        <v>1</v>
      </c>
      <c r="AL5" s="2">
        <v>1</v>
      </c>
      <c r="AM5" s="2">
        <v>0</v>
      </c>
      <c r="AN5" s="2">
        <v>0</v>
      </c>
      <c r="AO5" s="2">
        <v>1</v>
      </c>
      <c r="AP5" s="2">
        <v>1</v>
      </c>
      <c r="AQ5" s="2">
        <v>1</v>
      </c>
      <c r="AR5" s="2">
        <v>1</v>
      </c>
      <c r="AS5" s="5">
        <v>1</v>
      </c>
      <c r="AT5" s="6">
        <v>15</v>
      </c>
      <c r="AU5" s="2" t="str">
        <f>DEC2HEX(AT5,1)</f>
        <v>F</v>
      </c>
      <c r="AV5" s="2">
        <v>0</v>
      </c>
      <c r="AW5" s="2">
        <v>0</v>
      </c>
      <c r="AX5" s="2">
        <v>0</v>
      </c>
      <c r="AY5" s="2">
        <v>0</v>
      </c>
      <c r="AZ5" s="2">
        <v>0</v>
      </c>
      <c r="BA5" s="2">
        <v>0</v>
      </c>
      <c r="BB5" s="2">
        <v>0</v>
      </c>
      <c r="BC5" s="5">
        <v>0</v>
      </c>
      <c r="BD5" s="23">
        <f>HEX2DEC(BE5)</f>
        <v>65535</v>
      </c>
      <c r="BE5" s="2" t="str">
        <f>DEC2HEX(65535,4)</f>
        <v>FFFF</v>
      </c>
      <c r="BF5" s="2">
        <v>1</v>
      </c>
      <c r="BG5" s="2">
        <v>1</v>
      </c>
      <c r="BH5" s="2">
        <v>1</v>
      </c>
      <c r="BI5" s="2">
        <v>1</v>
      </c>
      <c r="BJ5" s="2">
        <v>1</v>
      </c>
      <c r="BK5" s="2">
        <v>1</v>
      </c>
      <c r="BL5" s="2">
        <v>1</v>
      </c>
      <c r="BM5" s="2">
        <v>1</v>
      </c>
      <c r="BN5" s="2">
        <v>1</v>
      </c>
      <c r="BO5" s="2">
        <v>1</v>
      </c>
      <c r="BP5" s="2">
        <v>1</v>
      </c>
      <c r="BQ5" s="2">
        <v>1</v>
      </c>
      <c r="BR5" s="2">
        <v>1</v>
      </c>
      <c r="BS5" s="2">
        <v>1</v>
      </c>
      <c r="BT5" s="2">
        <v>1</v>
      </c>
      <c r="BU5" s="2">
        <v>1</v>
      </c>
    </row>
    <row r="6" spans="1:73" x14ac:dyDescent="0.25">
      <c r="A6" s="8" t="s">
        <v>19</v>
      </c>
      <c r="B6" s="29" t="s">
        <v>24</v>
      </c>
      <c r="C6" s="5">
        <v>0</v>
      </c>
      <c r="D6" s="2" t="str">
        <f>MID(HEX2BIN($C6,4),COLUMNS($C6:C6),1)</f>
        <v>0</v>
      </c>
      <c r="E6" s="2" t="str">
        <f>MID(HEX2BIN($C6,4),COLUMNS($C6:D6),1)</f>
        <v>0</v>
      </c>
      <c r="F6" s="2" t="str">
        <f>MID(HEX2BIN($C6,4),COLUMNS($C6:E6),1)</f>
        <v>0</v>
      </c>
      <c r="G6" s="2" t="str">
        <f>MID(HEX2BIN($C6,4),COLUMNS($C6:F6),1)</f>
        <v>0</v>
      </c>
      <c r="H6" s="9" t="s">
        <v>144</v>
      </c>
      <c r="I6" s="32" t="s">
        <v>146</v>
      </c>
      <c r="J6" s="64" t="s">
        <v>144</v>
      </c>
      <c r="K6" s="32" t="s">
        <v>34</v>
      </c>
      <c r="L6" s="5" t="str">
        <f t="shared" ref="L6:L10" si="0">IF(COUNTBLANK(H6:K6)&gt;=1,CONCATENATE("Reserved",M6),CONCATENATE(H6,"_",I6,"_",J6,"_",K6))</f>
        <v>RESERVED 1_RESERVED 3_RESERVED 1_FIX</v>
      </c>
      <c r="M6" s="3" t="str">
        <f t="shared" ref="M6:M69" si="1">DEC2HEX(ROW()-$B$1,2)</f>
        <v>00</v>
      </c>
      <c r="N6" s="2" t="str">
        <f>MID(HEX2BIN($M6,8),COLUMNS($M6:M6),1)</f>
        <v>0</v>
      </c>
      <c r="O6" s="2" t="str">
        <f>MID(HEX2BIN($M6,8),COLUMNS($M6:N6),1)</f>
        <v>0</v>
      </c>
      <c r="P6" s="2" t="str">
        <f>MID(HEX2BIN($M6,8),COLUMNS($M6:O6),1)</f>
        <v>0</v>
      </c>
      <c r="Q6" s="2" t="str">
        <f>MID(HEX2BIN($M6,8),COLUMNS($M6:P6),1)</f>
        <v>0</v>
      </c>
      <c r="R6" s="2" t="str">
        <f>MID(HEX2BIN($M6,8),COLUMNS($M6:Q6),1)</f>
        <v>0</v>
      </c>
      <c r="S6" s="2" t="str">
        <f>MID(HEX2BIN($M6,8),COLUMNS($M6:R6),1)</f>
        <v>0</v>
      </c>
      <c r="T6" s="2" t="str">
        <f>MID(HEX2BIN($M6,8),COLUMNS($M6:S6),1)</f>
        <v>0</v>
      </c>
      <c r="U6" s="5" t="str">
        <f>MID(HEX2BIN($M6,8),COLUMNS($M6:T6),1)</f>
        <v>0</v>
      </c>
      <c r="V6" s="17" t="s">
        <v>68</v>
      </c>
      <c r="W6" s="3" t="str">
        <f t="shared" ref="W6:W21" si="2">DEC2HEX(ROW()-$B$1,1)</f>
        <v>0</v>
      </c>
      <c r="X6" s="2" t="str">
        <f>MID(HEX2BIN($W6,4),COLUMNS($W6:W6),1)</f>
        <v>0</v>
      </c>
      <c r="Y6" s="2" t="str">
        <f>MID(HEX2BIN($W6,4),COLUMNS($W6:X6),1)</f>
        <v>0</v>
      </c>
      <c r="Z6" s="2" t="str">
        <f>MID(HEX2BIN($W6,4),COLUMNS($W6:Y6),1)</f>
        <v>0</v>
      </c>
      <c r="AA6" s="5" t="str">
        <f>MID(HEX2BIN($W6,4),COLUMNS($W6:Z6),1)</f>
        <v>0</v>
      </c>
      <c r="AB6" s="26" t="s">
        <v>44</v>
      </c>
      <c r="AC6" s="33">
        <v>2025</v>
      </c>
      <c r="AV6" s="2" t="str">
        <f>MID(HEX2BIN($AU6,8),COLUMNS($AU6:AU6),1)</f>
        <v>0</v>
      </c>
      <c r="AW6" s="2" t="str">
        <f>MID(HEX2BIN($AU6,8),COLUMNS($AT6:AT6),1)</f>
        <v>0</v>
      </c>
      <c r="AX6" s="2" t="str">
        <f>MID(HEX2BIN($AU6,8),COLUMNS($AT6:AV6),1)</f>
        <v>0</v>
      </c>
      <c r="AY6" s="2" t="str">
        <f>MID(HEX2BIN($AU6,8),COLUMNS($AT6:AW6),1)</f>
        <v>0</v>
      </c>
      <c r="AZ6" s="2" t="str">
        <f>MID(HEX2BIN($AU6,8),COLUMNS($AT6:AX6),1)</f>
        <v>0</v>
      </c>
      <c r="BA6" s="2" t="str">
        <f>MID(HEX2BIN($AU6,8),COLUMNS($AT6:AY6),1)</f>
        <v>0</v>
      </c>
      <c r="BB6" s="2" t="str">
        <f>MID(HEX2BIN($AU6,8),COLUMNS($AT6:AZ6),1)</f>
        <v>0</v>
      </c>
      <c r="BC6" s="5" t="str">
        <f>MID(HEX2BIN($AU6,8),COLUMNS($AT6:BA6),1)</f>
        <v>0</v>
      </c>
    </row>
    <row r="7" spans="1:73" x14ac:dyDescent="0.25">
      <c r="C7" s="5">
        <v>1</v>
      </c>
      <c r="H7" s="9" t="s">
        <v>144</v>
      </c>
      <c r="I7" s="32" t="s">
        <v>146</v>
      </c>
      <c r="J7" s="64" t="s">
        <v>145</v>
      </c>
      <c r="K7" s="32" t="s">
        <v>34</v>
      </c>
      <c r="L7" s="5" t="str">
        <f t="shared" si="0"/>
        <v>RESERVED 1_RESERVED 3_RESERVED 2_FIX</v>
      </c>
      <c r="M7" s="3" t="str">
        <f t="shared" si="1"/>
        <v>01</v>
      </c>
      <c r="N7" s="2" t="str">
        <f>MID(HEX2BIN($M7,8),COLUMNS($M7:M7),1)</f>
        <v>0</v>
      </c>
      <c r="O7" s="2" t="str">
        <f>MID(HEX2BIN($M7,8),COLUMNS($M7:N7),1)</f>
        <v>0</v>
      </c>
      <c r="P7" s="2" t="str">
        <f>MID(HEX2BIN($M7,8),COLUMNS($M7:O7),1)</f>
        <v>0</v>
      </c>
      <c r="Q7" s="2" t="str">
        <f>MID(HEX2BIN($M7,8),COLUMNS($M7:P7),1)</f>
        <v>0</v>
      </c>
      <c r="R7" s="2" t="str">
        <f>MID(HEX2BIN($M7,8),COLUMNS($M7:Q7),1)</f>
        <v>0</v>
      </c>
      <c r="S7" s="2" t="str">
        <f>MID(HEX2BIN($M7,8),COLUMNS($M7:R7),1)</f>
        <v>0</v>
      </c>
      <c r="T7" s="2" t="str">
        <f>MID(HEX2BIN($M7,8),COLUMNS($M7:S7),1)</f>
        <v>0</v>
      </c>
      <c r="U7" s="5" t="str">
        <f>MID(HEX2BIN($M7,8),COLUMNS($M7:T7),1)</f>
        <v>1</v>
      </c>
      <c r="V7" s="17" t="s">
        <v>23</v>
      </c>
      <c r="W7" s="3" t="str">
        <f t="shared" si="2"/>
        <v>1</v>
      </c>
      <c r="X7" s="2" t="str">
        <f>MID(HEX2BIN($W7,4),COLUMNS($W7:W7),1)</f>
        <v>0</v>
      </c>
      <c r="Y7" s="2" t="str">
        <f>MID(HEX2BIN($W7,4),COLUMNS($W7:X7),1)</f>
        <v>0</v>
      </c>
      <c r="Z7" s="2" t="str">
        <f>MID(HEX2BIN($W7,4),COLUMNS($W7:Y7),1)</f>
        <v>0</v>
      </c>
      <c r="AA7" s="5" t="str">
        <f>MID(HEX2BIN($W7,4),COLUMNS($W7:Z7),1)</f>
        <v>1</v>
      </c>
      <c r="AB7" s="26" t="s">
        <v>45</v>
      </c>
      <c r="AC7" s="33">
        <v>9</v>
      </c>
    </row>
    <row r="8" spans="1:73" x14ac:dyDescent="0.25">
      <c r="C8" s="5">
        <v>2</v>
      </c>
      <c r="H8" s="9" t="s">
        <v>78</v>
      </c>
      <c r="I8" s="32" t="s">
        <v>85</v>
      </c>
      <c r="J8" s="64" t="s">
        <v>105</v>
      </c>
      <c r="K8" s="32" t="s">
        <v>34</v>
      </c>
      <c r="L8" s="5" t="str">
        <f t="shared" si="0"/>
        <v>GOTION_PENERGY_PRF027135_145_FIX</v>
      </c>
      <c r="M8" s="3" t="str">
        <f t="shared" si="1"/>
        <v>02</v>
      </c>
      <c r="N8" s="2" t="str">
        <f>MID(HEX2BIN($M8,8),COLUMNS($M8:M8),1)</f>
        <v>0</v>
      </c>
      <c r="O8" s="2" t="str">
        <f>MID(HEX2BIN($M8,8),COLUMNS($M8:N8),1)</f>
        <v>0</v>
      </c>
      <c r="P8" s="2" t="str">
        <f>MID(HEX2BIN($M8,8),COLUMNS($M8:O8),1)</f>
        <v>0</v>
      </c>
      <c r="Q8" s="2" t="str">
        <f>MID(HEX2BIN($M8,8),COLUMNS($M8:P8),1)</f>
        <v>0</v>
      </c>
      <c r="R8" s="2" t="str">
        <f>MID(HEX2BIN($M8,8),COLUMNS($M8:Q8),1)</f>
        <v>0</v>
      </c>
      <c r="S8" s="2" t="str">
        <f>MID(HEX2BIN($M8,8),COLUMNS($M8:R8),1)</f>
        <v>0</v>
      </c>
      <c r="T8" s="2" t="str">
        <f>MID(HEX2BIN($M8,8),COLUMNS($M8:S8),1)</f>
        <v>1</v>
      </c>
      <c r="U8" s="5" t="str">
        <f>MID(HEX2BIN($M8,8),COLUMNS($M8:T8),1)</f>
        <v>0</v>
      </c>
      <c r="V8" s="17" t="s">
        <v>144</v>
      </c>
      <c r="W8" s="3" t="str">
        <f t="shared" si="2"/>
        <v>2</v>
      </c>
      <c r="X8" s="2" t="str">
        <f>MID(HEX2BIN($W8,4),COLUMNS($W8:W8),1)</f>
        <v>0</v>
      </c>
      <c r="Y8" s="2" t="str">
        <f>MID(HEX2BIN($W8,4),COLUMNS($W8:X8),1)</f>
        <v>0</v>
      </c>
      <c r="Z8" s="2" t="str">
        <f>MID(HEX2BIN($W8,4),COLUMNS($W8:Y8),1)</f>
        <v>1</v>
      </c>
      <c r="AA8" s="5" t="str">
        <f>MID(HEX2BIN($W8,4),COLUMNS($W8:Z8),1)</f>
        <v>0</v>
      </c>
      <c r="AB8" s="26" t="s">
        <v>46</v>
      </c>
      <c r="AC8" s="33">
        <v>16</v>
      </c>
    </row>
    <row r="9" spans="1:73" x14ac:dyDescent="0.25">
      <c r="C9" s="5">
        <v>3</v>
      </c>
      <c r="H9" s="9" t="s">
        <v>78</v>
      </c>
      <c r="I9" s="32" t="s">
        <v>84</v>
      </c>
      <c r="J9" s="64" t="s">
        <v>106</v>
      </c>
      <c r="K9" s="32" t="s">
        <v>33</v>
      </c>
      <c r="L9" s="5" t="str">
        <f t="shared" si="0"/>
        <v>GOTION_RNTEC_GL405132_21_SWP</v>
      </c>
      <c r="M9" s="3" t="str">
        <f t="shared" si="1"/>
        <v>03</v>
      </c>
      <c r="N9" s="2" t="str">
        <f>MID(HEX2BIN($M9,8),COLUMNS($M9:M9),1)</f>
        <v>0</v>
      </c>
      <c r="O9" s="2" t="str">
        <f>MID(HEX2BIN($M9,8),COLUMNS($M9:N9),1)</f>
        <v>0</v>
      </c>
      <c r="P9" s="2" t="str">
        <f>MID(HEX2BIN($M9,8),COLUMNS($M9:O9),1)</f>
        <v>0</v>
      </c>
      <c r="Q9" s="2" t="str">
        <f>MID(HEX2BIN($M9,8),COLUMNS($M9:P9),1)</f>
        <v>0</v>
      </c>
      <c r="R9" s="2" t="str">
        <f>MID(HEX2BIN($M9,8),COLUMNS($M9:Q9),1)</f>
        <v>0</v>
      </c>
      <c r="S9" s="2" t="str">
        <f>MID(HEX2BIN($M9,8),COLUMNS($M9:R9),1)</f>
        <v>0</v>
      </c>
      <c r="T9" s="2" t="str">
        <f>MID(HEX2BIN($M9,8),COLUMNS($M9:S9),1)</f>
        <v>1</v>
      </c>
      <c r="U9" s="5" t="str">
        <f>MID(HEX2BIN($M9,8),COLUMNS($M9:T9),1)</f>
        <v>1</v>
      </c>
      <c r="V9" s="17" t="s">
        <v>78</v>
      </c>
      <c r="W9" s="3" t="str">
        <f t="shared" si="2"/>
        <v>3</v>
      </c>
      <c r="X9" s="2" t="str">
        <f>MID(HEX2BIN($W9,4),COLUMNS($W9:W9),1)</f>
        <v>0</v>
      </c>
      <c r="Y9" s="2" t="str">
        <f>MID(HEX2BIN($W9,4),COLUMNS($W9:X9),1)</f>
        <v>0</v>
      </c>
      <c r="Z9" s="2" t="str">
        <f>MID(HEX2BIN($W9,4),COLUMNS($W9:Y9),1)</f>
        <v>1</v>
      </c>
      <c r="AA9" s="5" t="str">
        <f>MID(HEX2BIN($W9,4),COLUMNS($W9:Z9),1)</f>
        <v>1</v>
      </c>
      <c r="AC9" s="22" t="str">
        <f>CONCATENATE(BIN2HEX(LEFT(CONCATENATE(DEC2BIN(AC6-2000,7),DEC2BIN(AC7,4),DEC2BIN(AC8,5)),4)),BIN2HEX(LEFT(RIGHT(CONCATENATE(DEC2BIN(AC6-2000,7),DEC2BIN(AC7,4),DEC2BIN(AC8,5)),12),4)),BIN2HEX(LEFT(RIGHT(CONCATENATE(DEC2BIN(AC6-2000,7),DEC2BIN(AC7,4),DEC2BIN(AC8,5)),8),4)),BIN2HEX(RIGHT(CONCATENATE(DEC2BIN(AC6-2000,7),DEC2BIN(AC7,4),DEC2BIN(AC8,5)),4)))</f>
        <v>3330</v>
      </c>
    </row>
    <row r="10" spans="1:73" x14ac:dyDescent="0.25">
      <c r="C10" s="5">
        <v>5</v>
      </c>
      <c r="H10" s="9" t="s">
        <v>144</v>
      </c>
      <c r="I10" s="32" t="s">
        <v>146</v>
      </c>
      <c r="J10" s="64" t="s">
        <v>142</v>
      </c>
      <c r="K10" s="32" t="s">
        <v>34</v>
      </c>
      <c r="L10" s="5" t="str">
        <f t="shared" si="0"/>
        <v>RESERVED 1_RESERVED 3_RESERVED7_FIX</v>
      </c>
      <c r="M10" s="3" t="str">
        <f t="shared" si="1"/>
        <v>04</v>
      </c>
      <c r="N10" s="2" t="str">
        <f>MID(HEX2BIN($M10,8),COLUMNS($M10:M10),1)</f>
        <v>0</v>
      </c>
      <c r="O10" s="2" t="str">
        <f>MID(HEX2BIN($M10,8),COLUMNS($M10:N10),1)</f>
        <v>0</v>
      </c>
      <c r="P10" s="2" t="str">
        <f>MID(HEX2BIN($M10,8),COLUMNS($M10:O10),1)</f>
        <v>0</v>
      </c>
      <c r="Q10" s="2" t="str">
        <f>MID(HEX2BIN($M10,8),COLUMNS($M10:P10),1)</f>
        <v>0</v>
      </c>
      <c r="R10" s="2" t="str">
        <f>MID(HEX2BIN($M10,8),COLUMNS($M10:Q10),1)</f>
        <v>0</v>
      </c>
      <c r="S10" s="2" t="str">
        <f>MID(HEX2BIN($M10,8),COLUMNS($M10:R10),1)</f>
        <v>1</v>
      </c>
      <c r="T10" s="2" t="str">
        <f>MID(HEX2BIN($M10,8),COLUMNS($M10:S10),1)</f>
        <v>0</v>
      </c>
      <c r="U10" s="5" t="str">
        <f>MID(HEX2BIN($M10,8),COLUMNS($M10:T10),1)</f>
        <v>0</v>
      </c>
      <c r="V10" s="17" t="s">
        <v>82</v>
      </c>
      <c r="W10" s="3" t="str">
        <f t="shared" si="2"/>
        <v>4</v>
      </c>
      <c r="X10" s="2" t="str">
        <f>MID(HEX2BIN($W10,4),COLUMNS($W10:W10),1)</f>
        <v>0</v>
      </c>
      <c r="Y10" s="2" t="str">
        <f>MID(HEX2BIN($W10,4),COLUMNS($W10:X10),1)</f>
        <v>1</v>
      </c>
      <c r="Z10" s="2" t="str">
        <f>MID(HEX2BIN($W10,4),COLUMNS($W10:Y10),1)</f>
        <v>0</v>
      </c>
      <c r="AA10" s="5" t="str">
        <f>MID(HEX2BIN($W10,4),COLUMNS($W10:Z10),1)</f>
        <v>0</v>
      </c>
    </row>
    <row r="11" spans="1:73" x14ac:dyDescent="0.25">
      <c r="C11" s="5">
        <v>4</v>
      </c>
      <c r="H11" s="9" t="s">
        <v>144</v>
      </c>
      <c r="I11" s="32" t="s">
        <v>146</v>
      </c>
      <c r="J11" s="64" t="s">
        <v>143</v>
      </c>
      <c r="K11" s="32" t="s">
        <v>34</v>
      </c>
      <c r="L11" s="5" t="str">
        <f>IF(COUNTBLANK(H11:K11)&gt;=1,CONCATENATE("Reserved",M11),CONCATENATE(H11,"_",I11,"_",J11,"_",K11))</f>
        <v>RESERVED 1_RESERVED 3_RESERVED8_FIX</v>
      </c>
      <c r="M11" s="3" t="str">
        <f t="shared" si="1"/>
        <v>05</v>
      </c>
      <c r="N11" s="2" t="str">
        <f>MID(HEX2BIN($M11,8),COLUMNS($M11:M11),1)</f>
        <v>0</v>
      </c>
      <c r="O11" s="2" t="str">
        <f>MID(HEX2BIN($M11,8),COLUMNS($M11:N11),1)</f>
        <v>0</v>
      </c>
      <c r="P11" s="2" t="str">
        <f>MID(HEX2BIN($M11,8),COLUMNS($M11:O11),1)</f>
        <v>0</v>
      </c>
      <c r="Q11" s="2" t="str">
        <f>MID(HEX2BIN($M11,8),COLUMNS($M11:P11),1)</f>
        <v>0</v>
      </c>
      <c r="R11" s="2" t="str">
        <f>MID(HEX2BIN($M11,8),COLUMNS($M11:Q11),1)</f>
        <v>0</v>
      </c>
      <c r="S11" s="2" t="str">
        <f>MID(HEX2BIN($M11,8),COLUMNS($M11:R11),1)</f>
        <v>1</v>
      </c>
      <c r="T11" s="2" t="str">
        <f>MID(HEX2BIN($M11,8),COLUMNS($M11:S11),1)</f>
        <v>0</v>
      </c>
      <c r="U11" s="5" t="str">
        <f>MID(HEX2BIN($M11,8),COLUMNS($M11:T11),1)</f>
        <v>1</v>
      </c>
      <c r="V11" s="17" t="s">
        <v>145</v>
      </c>
      <c r="W11" s="3">
        <v>5</v>
      </c>
      <c r="X11" s="2" t="str">
        <f>MID(HEX2BIN($W11,4),COLUMNS($W11:W11),1)</f>
        <v>0</v>
      </c>
      <c r="Y11" s="2" t="str">
        <f>MID(HEX2BIN($W11,4),COLUMNS($W11:X11),1)</f>
        <v>1</v>
      </c>
      <c r="Z11" s="2" t="str">
        <f>MID(HEX2BIN($W11,4),COLUMNS($W11:Y11),1)</f>
        <v>0</v>
      </c>
      <c r="AA11" s="5" t="str">
        <f>MID(HEX2BIN($W11,4),COLUMNS($W11:Z11),1)</f>
        <v>1</v>
      </c>
    </row>
    <row r="12" spans="1:73" x14ac:dyDescent="0.25">
      <c r="C12" s="5">
        <v>5</v>
      </c>
      <c r="H12" s="9" t="s">
        <v>147</v>
      </c>
      <c r="I12" s="32" t="s">
        <v>148</v>
      </c>
      <c r="J12" s="64" t="s">
        <v>150</v>
      </c>
      <c r="K12" s="32" t="s">
        <v>34</v>
      </c>
      <c r="L12" s="5" t="str">
        <f t="shared" ref="L12:L22" si="3">IF(COUNTBLANK(H12:K12)&gt;=1,CONCATENATE("Reserved",M12),CONCATENATE(H12,"_",I12,"_",J12,"_",K12))</f>
        <v>RESERVED 4_RESERVED 5_RESERVED9_FIX</v>
      </c>
      <c r="M12" s="3" t="str">
        <f t="shared" si="1"/>
        <v>06</v>
      </c>
      <c r="N12" s="2" t="str">
        <f>MID(HEX2BIN($M12,8),COLUMNS($M12:M12),1)</f>
        <v>0</v>
      </c>
      <c r="O12" s="2" t="str">
        <f>MID(HEX2BIN($M12,8),COLUMNS($M12:N12),1)</f>
        <v>0</v>
      </c>
      <c r="P12" s="2" t="str">
        <f>MID(HEX2BIN($M12,8),COLUMNS($M12:O12),1)</f>
        <v>0</v>
      </c>
      <c r="Q12" s="2" t="str">
        <f>MID(HEX2BIN($M12,8),COLUMNS($M12:P12),1)</f>
        <v>0</v>
      </c>
      <c r="R12" s="2" t="str">
        <f>MID(HEX2BIN($M12,8),COLUMNS($M12:Q12),1)</f>
        <v>0</v>
      </c>
      <c r="S12" s="2" t="str">
        <f>MID(HEX2BIN($M12,8),COLUMNS($M12:R12),1)</f>
        <v>1</v>
      </c>
      <c r="T12" s="2" t="str">
        <f>MID(HEX2BIN($M12,8),COLUMNS($M12:S12),1)</f>
        <v>1</v>
      </c>
      <c r="U12" s="5" t="str">
        <f>MID(HEX2BIN($M12,8),COLUMNS($M12:T12),1)</f>
        <v>0</v>
      </c>
      <c r="W12" s="3" t="str">
        <f t="shared" si="2"/>
        <v>6</v>
      </c>
      <c r="X12" s="2" t="str">
        <f>MID(HEX2BIN($W12,4),COLUMNS($W12:W12),1)</f>
        <v>0</v>
      </c>
      <c r="Y12" s="2" t="str">
        <f>MID(HEX2BIN($W12,4),COLUMNS($W12:X12),1)</f>
        <v>1</v>
      </c>
      <c r="Z12" s="2" t="str">
        <f>MID(HEX2BIN($W12,4),COLUMNS($W12:Y12),1)</f>
        <v>1</v>
      </c>
      <c r="AA12" s="5" t="str">
        <f>MID(HEX2BIN($W12,4),COLUMNS($W12:Z12),1)</f>
        <v>0</v>
      </c>
    </row>
    <row r="13" spans="1:73" x14ac:dyDescent="0.25">
      <c r="C13" s="5">
        <v>6</v>
      </c>
      <c r="H13" s="9" t="s">
        <v>167</v>
      </c>
      <c r="I13" s="32" t="s">
        <v>147</v>
      </c>
      <c r="J13" s="64" t="s">
        <v>151</v>
      </c>
      <c r="K13" s="32" t="s">
        <v>34</v>
      </c>
      <c r="L13" s="5" t="str">
        <f t="shared" si="3"/>
        <v>RESERVED 5 _RESERVED 4_RESERVED10_FIX</v>
      </c>
      <c r="M13" s="3" t="str">
        <f t="shared" si="1"/>
        <v>07</v>
      </c>
      <c r="N13" s="2" t="str">
        <f>MID(HEX2BIN($M13,8),COLUMNS($M13:M13),1)</f>
        <v>0</v>
      </c>
      <c r="O13" s="2" t="str">
        <f>MID(HEX2BIN($M13,8),COLUMNS($M13:N13),1)</f>
        <v>0</v>
      </c>
      <c r="P13" s="2" t="str">
        <f>MID(HEX2BIN($M13,8),COLUMNS($M13:O13),1)</f>
        <v>0</v>
      </c>
      <c r="Q13" s="2" t="str">
        <f>MID(HEX2BIN($M13,8),COLUMNS($M13:P13),1)</f>
        <v>0</v>
      </c>
      <c r="R13" s="2" t="str">
        <f>MID(HEX2BIN($M13,8),COLUMNS($M13:Q13),1)</f>
        <v>0</v>
      </c>
      <c r="S13" s="2" t="str">
        <f>MID(HEX2BIN($M13,8),COLUMNS($M13:R13),1)</f>
        <v>1</v>
      </c>
      <c r="T13" s="2" t="str">
        <f>MID(HEX2BIN($M13,8),COLUMNS($M13:S13),1)</f>
        <v>1</v>
      </c>
      <c r="U13" s="5" t="str">
        <f>MID(HEX2BIN($M13,8),COLUMNS($M13:T13),1)</f>
        <v>1</v>
      </c>
      <c r="W13" s="3" t="str">
        <f t="shared" si="2"/>
        <v>7</v>
      </c>
      <c r="X13" s="2" t="str">
        <f>MID(HEX2BIN($W13,4),COLUMNS($W13:W13),1)</f>
        <v>0</v>
      </c>
      <c r="Y13" s="2" t="str">
        <f>MID(HEX2BIN($W13,4),COLUMNS($W13:X13),1)</f>
        <v>1</v>
      </c>
      <c r="Z13" s="2" t="str">
        <f>MID(HEX2BIN($W13,4),COLUMNS($W13:Y13),1)</f>
        <v>1</v>
      </c>
      <c r="AA13" s="5" t="str">
        <f>MID(HEX2BIN($W13,4),COLUMNS($W13:Z13),1)</f>
        <v>1</v>
      </c>
    </row>
    <row r="14" spans="1:73" x14ac:dyDescent="0.25">
      <c r="C14" s="5">
        <v>7</v>
      </c>
      <c r="H14" s="9" t="s">
        <v>23</v>
      </c>
      <c r="I14" s="32" t="s">
        <v>146</v>
      </c>
      <c r="J14" s="64" t="s">
        <v>146</v>
      </c>
      <c r="K14" s="32" t="s">
        <v>34</v>
      </c>
      <c r="L14" s="5" t="str">
        <f t="shared" si="3"/>
        <v>BAL_RESERVED 3_RESERVED 3_FIX</v>
      </c>
      <c r="M14" s="3" t="str">
        <f t="shared" si="1"/>
        <v>08</v>
      </c>
      <c r="N14" s="2" t="str">
        <f>MID(HEX2BIN($M14,8),COLUMNS($M14:M14),1)</f>
        <v>0</v>
      </c>
      <c r="O14" s="2" t="str">
        <f>MID(HEX2BIN($M14,8),COLUMNS($M14:N14),1)</f>
        <v>0</v>
      </c>
      <c r="P14" s="2" t="str">
        <f>MID(HEX2BIN($M14,8),COLUMNS($M14:O14),1)</f>
        <v>0</v>
      </c>
      <c r="Q14" s="2" t="str">
        <f>MID(HEX2BIN($M14,8),COLUMNS($M14:P14),1)</f>
        <v>0</v>
      </c>
      <c r="R14" s="2" t="str">
        <f>MID(HEX2BIN($M14,8),COLUMNS($M14:Q14),1)</f>
        <v>1</v>
      </c>
      <c r="S14" s="2" t="str">
        <f>MID(HEX2BIN($M14,8),COLUMNS($M14:R14),1)</f>
        <v>0</v>
      </c>
      <c r="T14" s="2" t="str">
        <f>MID(HEX2BIN($M14,8),COLUMNS($M14:S14),1)</f>
        <v>0</v>
      </c>
      <c r="U14" s="5" t="str">
        <f>MID(HEX2BIN($M14,8),COLUMNS($M14:T14),1)</f>
        <v>0</v>
      </c>
      <c r="W14" s="3" t="str">
        <f t="shared" si="2"/>
        <v>8</v>
      </c>
      <c r="X14" s="2" t="str">
        <f>MID(HEX2BIN($W14,4),COLUMNS($W14:W14),1)</f>
        <v>1</v>
      </c>
      <c r="Y14" s="2" t="str">
        <f>MID(HEX2BIN($W14,4),COLUMNS($W14:X14),1)</f>
        <v>0</v>
      </c>
      <c r="Z14" s="2" t="str">
        <f>MID(HEX2BIN($W14,4),COLUMNS($W14:Y14),1)</f>
        <v>0</v>
      </c>
      <c r="AA14" s="5" t="str">
        <f>MID(HEX2BIN($W14,4),COLUMNS($W14:Z14),1)</f>
        <v>0</v>
      </c>
    </row>
    <row r="15" spans="1:73" x14ac:dyDescent="0.25">
      <c r="C15" s="5">
        <v>8</v>
      </c>
      <c r="H15" s="9" t="s">
        <v>23</v>
      </c>
      <c r="I15" s="32" t="s">
        <v>146</v>
      </c>
      <c r="J15" s="64" t="s">
        <v>152</v>
      </c>
      <c r="K15" s="32" t="s">
        <v>34</v>
      </c>
      <c r="L15" s="5" t="str">
        <f t="shared" si="3"/>
        <v>BAL_RESERVED 3_RESERVED11_FIX</v>
      </c>
      <c r="M15" s="3" t="str">
        <f t="shared" si="1"/>
        <v>09</v>
      </c>
      <c r="N15" s="2" t="str">
        <f>MID(HEX2BIN($M15,8),COLUMNS($M15:M15),1)</f>
        <v>0</v>
      </c>
      <c r="O15" s="2" t="str">
        <f>MID(HEX2BIN($M15,8),COLUMNS($M15:N15),1)</f>
        <v>0</v>
      </c>
      <c r="P15" s="2" t="str">
        <f>MID(HEX2BIN($M15,8),COLUMNS($M15:O15),1)</f>
        <v>0</v>
      </c>
      <c r="Q15" s="2" t="str">
        <f>MID(HEX2BIN($M15,8),COLUMNS($M15:P15),1)</f>
        <v>0</v>
      </c>
      <c r="R15" s="2" t="str">
        <f>MID(HEX2BIN($M15,8),COLUMNS($M15:Q15),1)</f>
        <v>1</v>
      </c>
      <c r="S15" s="2" t="str">
        <f>MID(HEX2BIN($M15,8),COLUMNS($M15:R15),1)</f>
        <v>0</v>
      </c>
      <c r="T15" s="2" t="str">
        <f>MID(HEX2BIN($M15,8),COLUMNS($M15:S15),1)</f>
        <v>0</v>
      </c>
      <c r="U15" s="5" t="str">
        <f>MID(HEX2BIN($M15,8),COLUMNS($M15:T15),1)</f>
        <v>1</v>
      </c>
      <c r="W15" s="3" t="str">
        <f t="shared" si="2"/>
        <v>9</v>
      </c>
      <c r="X15" s="2" t="str">
        <f>MID(HEX2BIN($W15,4),COLUMNS($W15:W15),1)</f>
        <v>1</v>
      </c>
      <c r="Y15" s="2" t="str">
        <f>MID(HEX2BIN($W15,4),COLUMNS($W15:X15),1)</f>
        <v>0</v>
      </c>
      <c r="Z15" s="2" t="str">
        <f>MID(HEX2BIN($W15,4),COLUMNS($W15:Y15),1)</f>
        <v>0</v>
      </c>
      <c r="AA15" s="5" t="str">
        <f>MID(HEX2BIN($W15,4),COLUMNS($W15:Z15),1)</f>
        <v>1</v>
      </c>
    </row>
    <row r="16" spans="1:73" x14ac:dyDescent="0.25">
      <c r="C16" s="5">
        <v>9</v>
      </c>
      <c r="H16" s="9" t="s">
        <v>23</v>
      </c>
      <c r="I16" s="32" t="s">
        <v>149</v>
      </c>
      <c r="J16" s="64" t="s">
        <v>146</v>
      </c>
      <c r="K16" s="32" t="s">
        <v>34</v>
      </c>
      <c r="L16" s="5" t="str">
        <f t="shared" si="3"/>
        <v>BAL_RESERVED 6_RESERVED 3_FIX</v>
      </c>
      <c r="M16" s="3" t="str">
        <f t="shared" si="1"/>
        <v>0A</v>
      </c>
      <c r="N16" s="2" t="str">
        <f>MID(HEX2BIN($M16,8),COLUMNS($M16:M16),1)</f>
        <v>0</v>
      </c>
      <c r="O16" s="2" t="str">
        <f>MID(HEX2BIN($M16,8),COLUMNS($M16:N16),1)</f>
        <v>0</v>
      </c>
      <c r="P16" s="2" t="str">
        <f>MID(HEX2BIN($M16,8),COLUMNS($M16:O16),1)</f>
        <v>0</v>
      </c>
      <c r="Q16" s="2" t="str">
        <f>MID(HEX2BIN($M16,8),COLUMNS($M16:P16),1)</f>
        <v>0</v>
      </c>
      <c r="R16" s="2" t="str">
        <f>MID(HEX2BIN($M16,8),COLUMNS($M16:Q16),1)</f>
        <v>1</v>
      </c>
      <c r="S16" s="2" t="str">
        <f>MID(HEX2BIN($M16,8),COLUMNS($M16:R16),1)</f>
        <v>0</v>
      </c>
      <c r="T16" s="2" t="str">
        <f>MID(HEX2BIN($M16,8),COLUMNS($M16:S16),1)</f>
        <v>1</v>
      </c>
      <c r="U16" s="5" t="str">
        <f>MID(HEX2BIN($M16,8),COLUMNS($M16:T16),1)</f>
        <v>0</v>
      </c>
      <c r="W16" s="3" t="str">
        <f t="shared" si="2"/>
        <v>A</v>
      </c>
      <c r="X16" s="2" t="str">
        <f>MID(HEX2BIN($W16,4),COLUMNS($W16:W16),1)</f>
        <v>1</v>
      </c>
      <c r="Y16" s="2" t="str">
        <f>MID(HEX2BIN($W16,4),COLUMNS($W16:X16),1)</f>
        <v>0</v>
      </c>
      <c r="Z16" s="2" t="str">
        <f>MID(HEX2BIN($W16,4),COLUMNS($W16:Y16),1)</f>
        <v>1</v>
      </c>
      <c r="AA16" s="5" t="str">
        <f>MID(HEX2BIN($W16,4),COLUMNS($W16:Z16),1)</f>
        <v>0</v>
      </c>
    </row>
    <row r="17" spans="3:27" x14ac:dyDescent="0.25">
      <c r="C17" s="5">
        <v>10</v>
      </c>
      <c r="H17" s="9" t="s">
        <v>23</v>
      </c>
      <c r="I17" s="32" t="s">
        <v>149</v>
      </c>
      <c r="J17" s="64" t="s">
        <v>152</v>
      </c>
      <c r="K17" s="32" t="s">
        <v>34</v>
      </c>
      <c r="L17" s="5" t="str">
        <f t="shared" si="3"/>
        <v>BAL_RESERVED 6_RESERVED11_FIX</v>
      </c>
      <c r="M17" s="3" t="str">
        <f t="shared" si="1"/>
        <v>0B</v>
      </c>
      <c r="N17" s="2" t="str">
        <f>MID(HEX2BIN($M17,8),COLUMNS($M17:M17),1)</f>
        <v>0</v>
      </c>
      <c r="O17" s="2" t="str">
        <f>MID(HEX2BIN($M17,8),COLUMNS($M17:N17),1)</f>
        <v>0</v>
      </c>
      <c r="P17" s="2" t="str">
        <f>MID(HEX2BIN($M17,8),COLUMNS($M17:O17),1)</f>
        <v>0</v>
      </c>
      <c r="Q17" s="2" t="str">
        <f>MID(HEX2BIN($M17,8),COLUMNS($M17:P17),1)</f>
        <v>0</v>
      </c>
      <c r="R17" s="2" t="str">
        <f>MID(HEX2BIN($M17,8),COLUMNS($M17:Q17),1)</f>
        <v>1</v>
      </c>
      <c r="S17" s="2" t="str">
        <f>MID(HEX2BIN($M17,8),COLUMNS($M17:R17),1)</f>
        <v>0</v>
      </c>
      <c r="T17" s="2" t="str">
        <f>MID(HEX2BIN($M17,8),COLUMNS($M17:S17),1)</f>
        <v>1</v>
      </c>
      <c r="U17" s="5" t="str">
        <f>MID(HEX2BIN($M17,8),COLUMNS($M17:T17),1)</f>
        <v>1</v>
      </c>
      <c r="W17" s="3" t="str">
        <f t="shared" si="2"/>
        <v>B</v>
      </c>
      <c r="X17" s="2" t="str">
        <f>MID(HEX2BIN($W17,4),COLUMNS($W17:W17),1)</f>
        <v>1</v>
      </c>
      <c r="Y17" s="2" t="str">
        <f>MID(HEX2BIN($W17,4),COLUMNS($W17:X17),1)</f>
        <v>0</v>
      </c>
      <c r="Z17" s="2" t="str">
        <f>MID(HEX2BIN($W17,4),COLUMNS($W17:Y17),1)</f>
        <v>1</v>
      </c>
      <c r="AA17" s="5" t="str">
        <f>MID(HEX2BIN($W17,4),COLUMNS($W17:Z17),1)</f>
        <v>1</v>
      </c>
    </row>
    <row r="18" spans="3:27" x14ac:dyDescent="0.25">
      <c r="C18" s="5">
        <v>11</v>
      </c>
      <c r="H18" s="9" t="s">
        <v>23</v>
      </c>
      <c r="I18" s="32" t="s">
        <v>146</v>
      </c>
      <c r="J18" s="67" t="s">
        <v>153</v>
      </c>
      <c r="K18" s="32" t="s">
        <v>34</v>
      </c>
      <c r="L18" s="5" t="str">
        <f t="shared" si="3"/>
        <v>BAL_RESERVED 3_RESERVED12_FIX</v>
      </c>
      <c r="M18" s="3" t="str">
        <f t="shared" si="1"/>
        <v>0C</v>
      </c>
      <c r="N18" s="2" t="str">
        <f>MID(HEX2BIN($M18,8),COLUMNS($M18:M18),1)</f>
        <v>0</v>
      </c>
      <c r="O18" s="2" t="str">
        <f>MID(HEX2BIN($M18,8),COLUMNS($M18:N18),1)</f>
        <v>0</v>
      </c>
      <c r="P18" s="2" t="str">
        <f>MID(HEX2BIN($M18,8),COLUMNS($M18:O18),1)</f>
        <v>0</v>
      </c>
      <c r="Q18" s="2" t="str">
        <f>MID(HEX2BIN($M18,8),COLUMNS($M18:P18),1)</f>
        <v>0</v>
      </c>
      <c r="R18" s="2" t="str">
        <f>MID(HEX2BIN($M18,8),COLUMNS($M18:Q18),1)</f>
        <v>1</v>
      </c>
      <c r="S18" s="2" t="str">
        <f>MID(HEX2BIN($M18,8),COLUMNS($M18:R18),1)</f>
        <v>1</v>
      </c>
      <c r="T18" s="2" t="str">
        <f>MID(HEX2BIN($M18,8),COLUMNS($M18:S18),1)</f>
        <v>0</v>
      </c>
      <c r="U18" s="5" t="str">
        <f>MID(HEX2BIN($M18,8),COLUMNS($M18:T18),1)</f>
        <v>0</v>
      </c>
      <c r="W18" s="3" t="str">
        <f t="shared" si="2"/>
        <v>C</v>
      </c>
      <c r="X18" s="2" t="str">
        <f>MID(HEX2BIN($W18,4),COLUMNS($W18:W18),1)</f>
        <v>1</v>
      </c>
      <c r="Y18" s="2" t="str">
        <f>MID(HEX2BIN($W18,4),COLUMNS($W18:X18),1)</f>
        <v>1</v>
      </c>
      <c r="Z18" s="2" t="str">
        <f>MID(HEX2BIN($W18,4),COLUMNS($W18:Y18),1)</f>
        <v>0</v>
      </c>
      <c r="AA18" s="5" t="str">
        <f>MID(HEX2BIN($W18,4),COLUMNS($W18:Z18),1)</f>
        <v>0</v>
      </c>
    </row>
    <row r="19" spans="3:27" x14ac:dyDescent="0.25">
      <c r="C19" s="5">
        <v>12</v>
      </c>
      <c r="H19" s="9" t="s">
        <v>23</v>
      </c>
      <c r="I19" s="61" t="s">
        <v>149</v>
      </c>
      <c r="J19" s="56" t="s">
        <v>153</v>
      </c>
      <c r="K19" s="32" t="s">
        <v>34</v>
      </c>
      <c r="L19" s="5" t="str">
        <f t="shared" si="3"/>
        <v>BAL_RESERVED 6_RESERVED12_FIX</v>
      </c>
      <c r="M19" s="3" t="str">
        <f t="shared" si="1"/>
        <v>0D</v>
      </c>
      <c r="N19" s="2" t="str">
        <f>MID(HEX2BIN($M19,8),COLUMNS($M19:M19),1)</f>
        <v>0</v>
      </c>
      <c r="O19" s="2" t="str">
        <f>MID(HEX2BIN($M19,8),COLUMNS($M19:N19),1)</f>
        <v>0</v>
      </c>
      <c r="P19" s="2" t="str">
        <f>MID(HEX2BIN($M19,8),COLUMNS($M19:O19),1)</f>
        <v>0</v>
      </c>
      <c r="Q19" s="2" t="str">
        <f>MID(HEX2BIN($M19,8),COLUMNS($M19:P19),1)</f>
        <v>0</v>
      </c>
      <c r="R19" s="2" t="str">
        <f>MID(HEX2BIN($M19,8),COLUMNS($M19:Q19),1)</f>
        <v>1</v>
      </c>
      <c r="S19" s="2" t="str">
        <f>MID(HEX2BIN($M19,8),COLUMNS($M19:R19),1)</f>
        <v>1</v>
      </c>
      <c r="T19" s="2" t="str">
        <f>MID(HEX2BIN($M19,8),COLUMNS($M19:S19),1)</f>
        <v>0</v>
      </c>
      <c r="U19" s="5" t="str">
        <f>MID(HEX2BIN($M19,8),COLUMNS($M19:T19),1)</f>
        <v>1</v>
      </c>
      <c r="W19" s="3" t="str">
        <f t="shared" si="2"/>
        <v>D</v>
      </c>
      <c r="X19" s="2" t="str">
        <f>MID(HEX2BIN($W19,4),COLUMNS($W19:W19),1)</f>
        <v>1</v>
      </c>
      <c r="Y19" s="2" t="str">
        <f>MID(HEX2BIN($W19,4),COLUMNS($W19:X19),1)</f>
        <v>1</v>
      </c>
      <c r="Z19" s="2" t="str">
        <f>MID(HEX2BIN($W19,4),COLUMNS($W19:Y19),1)</f>
        <v>0</v>
      </c>
      <c r="AA19" s="5" t="str">
        <f>MID(HEX2BIN($W19,4),COLUMNS($W19:Z19),1)</f>
        <v>1</v>
      </c>
    </row>
    <row r="20" spans="3:27" x14ac:dyDescent="0.25">
      <c r="C20" s="5">
        <v>13</v>
      </c>
      <c r="H20" s="9" t="s">
        <v>78</v>
      </c>
      <c r="I20" s="61" t="s">
        <v>85</v>
      </c>
      <c r="J20" s="56" t="s">
        <v>162</v>
      </c>
      <c r="K20" s="32" t="s">
        <v>34</v>
      </c>
      <c r="L20" s="5" t="str">
        <f t="shared" si="3"/>
        <v>GOTION_PENERGY_Gotion_14.8_FIX</v>
      </c>
      <c r="M20" s="3" t="str">
        <f t="shared" si="1"/>
        <v>0E</v>
      </c>
      <c r="N20" s="2" t="str">
        <f>MID(HEX2BIN($M20,8),COLUMNS($M20:M20),1)</f>
        <v>0</v>
      </c>
      <c r="O20" s="2" t="str">
        <f>MID(HEX2BIN($M20,8),COLUMNS($M20:N20),1)</f>
        <v>0</v>
      </c>
      <c r="P20" s="2" t="str">
        <f>MID(HEX2BIN($M20,8),COLUMNS($M20:O20),1)</f>
        <v>0</v>
      </c>
      <c r="Q20" s="2" t="str">
        <f>MID(HEX2BIN($M20,8),COLUMNS($M20:P20),1)</f>
        <v>0</v>
      </c>
      <c r="R20" s="2" t="str">
        <f>MID(HEX2BIN($M20,8),COLUMNS($M20:Q20),1)</f>
        <v>1</v>
      </c>
      <c r="S20" s="2" t="str">
        <f>MID(HEX2BIN($M20,8),COLUMNS($M20:R20),1)</f>
        <v>1</v>
      </c>
      <c r="T20" s="2" t="str">
        <f>MID(HEX2BIN($M20,8),COLUMNS($M20:S20),1)</f>
        <v>1</v>
      </c>
      <c r="U20" s="5" t="str">
        <f>MID(HEX2BIN($M20,8),COLUMNS($M20:T20),1)</f>
        <v>0</v>
      </c>
      <c r="W20" s="3" t="str">
        <f t="shared" si="2"/>
        <v>E</v>
      </c>
      <c r="X20" s="2" t="str">
        <f>MID(HEX2BIN($W20,4),COLUMNS($W20:W20),1)</f>
        <v>1</v>
      </c>
      <c r="Y20" s="2" t="str">
        <f>MID(HEX2BIN($W20,4),COLUMNS($W20:X20),1)</f>
        <v>1</v>
      </c>
      <c r="Z20" s="2" t="str">
        <f>MID(HEX2BIN($W20,4),COLUMNS($W20:Y20),1)</f>
        <v>1</v>
      </c>
      <c r="AA20" s="5" t="str">
        <f>MID(HEX2BIN($W20,4),COLUMNS($W20:Z20),1)</f>
        <v>0</v>
      </c>
    </row>
    <row r="21" spans="3:27" x14ac:dyDescent="0.25">
      <c r="C21" s="5">
        <v>14</v>
      </c>
      <c r="H21" s="9" t="s">
        <v>78</v>
      </c>
      <c r="I21" s="61" t="s">
        <v>85</v>
      </c>
      <c r="J21" s="56" t="s">
        <v>163</v>
      </c>
      <c r="K21" s="32" t="s">
        <v>34</v>
      </c>
      <c r="L21" s="5" t="str">
        <f t="shared" si="3"/>
        <v>GOTION_PENERGY_Gotion_67_FIX</v>
      </c>
      <c r="M21" s="3" t="str">
        <f t="shared" si="1"/>
        <v>0F</v>
      </c>
      <c r="N21" s="2" t="str">
        <f>MID(HEX2BIN($M21,8),COLUMNS($M21:M21),1)</f>
        <v>0</v>
      </c>
      <c r="O21" s="2" t="str">
        <f>MID(HEX2BIN($M21,8),COLUMNS($M21:N21),1)</f>
        <v>0</v>
      </c>
      <c r="P21" s="2" t="str">
        <f>MID(HEX2BIN($M21,8),COLUMNS($M21:O21),1)</f>
        <v>0</v>
      </c>
      <c r="Q21" s="2" t="str">
        <f>MID(HEX2BIN($M21,8),COLUMNS($M21:P21),1)</f>
        <v>0</v>
      </c>
      <c r="R21" s="2" t="str">
        <f>MID(HEX2BIN($M21,8),COLUMNS($M21:Q21),1)</f>
        <v>1</v>
      </c>
      <c r="S21" s="2" t="str">
        <f>MID(HEX2BIN($M21,8),COLUMNS($M21:R21),1)</f>
        <v>1</v>
      </c>
      <c r="T21" s="2" t="str">
        <f>MID(HEX2BIN($M21,8),COLUMNS($M21:S21),1)</f>
        <v>1</v>
      </c>
      <c r="U21" s="5" t="str">
        <f>MID(HEX2BIN($M21,8),COLUMNS($M21:T21),1)</f>
        <v>1</v>
      </c>
      <c r="W21" s="3" t="str">
        <f t="shared" si="2"/>
        <v>F</v>
      </c>
      <c r="X21" s="2" t="str">
        <f>MID(HEX2BIN($W21,4),COLUMNS($W21:W21),1)</f>
        <v>1</v>
      </c>
      <c r="Y21" s="2" t="str">
        <f>MID(HEX2BIN($W21,4),COLUMNS($W21:X21),1)</f>
        <v>1</v>
      </c>
      <c r="Z21" s="2" t="str">
        <f>MID(HEX2BIN($W21,4),COLUMNS($W21:Y21),1)</f>
        <v>1</v>
      </c>
      <c r="AA21" s="5" t="str">
        <f>MID(HEX2BIN($W21,4),COLUMNS($W21:Z21),1)</f>
        <v>1</v>
      </c>
    </row>
    <row r="22" spans="3:27" x14ac:dyDescent="0.25">
      <c r="C22" s="5">
        <v>15</v>
      </c>
      <c r="H22" s="9" t="s">
        <v>78</v>
      </c>
      <c r="I22" s="32" t="s">
        <v>126</v>
      </c>
      <c r="J22" s="56" t="s">
        <v>162</v>
      </c>
      <c r="K22" s="32" t="s">
        <v>34</v>
      </c>
      <c r="L22" s="5" t="str">
        <f t="shared" si="3"/>
        <v>GOTION_DBG_Gotion_14.8_FIX</v>
      </c>
      <c r="M22" s="3" t="str">
        <f t="shared" si="1"/>
        <v>10</v>
      </c>
      <c r="N22" s="2" t="str">
        <f>MID(HEX2BIN($M22,8),COLUMNS($M22:M22),1)</f>
        <v>0</v>
      </c>
      <c r="O22" s="2" t="str">
        <f>MID(HEX2BIN($M22,8),COLUMNS($M22:N22),1)</f>
        <v>0</v>
      </c>
      <c r="P22" s="2" t="str">
        <f>MID(HEX2BIN($M22,8),COLUMNS($M22:O22),1)</f>
        <v>0</v>
      </c>
      <c r="Q22" s="2" t="str">
        <f>MID(HEX2BIN($M22,8),COLUMNS($M22:P22),1)</f>
        <v>1</v>
      </c>
      <c r="R22" s="2" t="str">
        <f>MID(HEX2BIN($M22,8),COLUMNS($M22:Q22),1)</f>
        <v>0</v>
      </c>
      <c r="S22" s="2" t="str">
        <f>MID(HEX2BIN($M22,8),COLUMNS($M22:R22),1)</f>
        <v>0</v>
      </c>
      <c r="T22" s="2" t="str">
        <f>MID(HEX2BIN($M22,8),COLUMNS($M22:S22),1)</f>
        <v>0</v>
      </c>
      <c r="U22" s="5" t="str">
        <f>MID(HEX2BIN($M22,8),COLUMNS($M22:T22),1)</f>
        <v>0</v>
      </c>
    </row>
    <row r="23" spans="3:27" x14ac:dyDescent="0.25">
      <c r="C23" s="5">
        <v>16</v>
      </c>
      <c r="J23" s="64"/>
      <c r="K23" s="32"/>
      <c r="M23" s="3" t="str">
        <f t="shared" si="1"/>
        <v>11</v>
      </c>
      <c r="N23" s="2" t="str">
        <f>MID(HEX2BIN($M23,8),COLUMNS($M23:M23),1)</f>
        <v>0</v>
      </c>
      <c r="O23" s="2" t="str">
        <f>MID(HEX2BIN($M23,8),COLUMNS($M23:N23),1)</f>
        <v>0</v>
      </c>
      <c r="P23" s="2" t="str">
        <f>MID(HEX2BIN($M23,8),COLUMNS($M23:O23),1)</f>
        <v>0</v>
      </c>
      <c r="Q23" s="2" t="str">
        <f>MID(HEX2BIN($M23,8),COLUMNS($M23:P23),1)</f>
        <v>1</v>
      </c>
      <c r="R23" s="2" t="str">
        <f>MID(HEX2BIN($M23,8),COLUMNS($M23:Q23),1)</f>
        <v>0</v>
      </c>
      <c r="S23" s="2" t="str">
        <f>MID(HEX2BIN($M23,8),COLUMNS($M23:R23),1)</f>
        <v>0</v>
      </c>
      <c r="T23" s="2" t="str">
        <f>MID(HEX2BIN($M23,8),COLUMNS($M23:S23),1)</f>
        <v>0</v>
      </c>
      <c r="U23" s="5" t="str">
        <f>MID(HEX2BIN($M23,8),COLUMNS($M23:T23),1)</f>
        <v>1</v>
      </c>
    </row>
    <row r="24" spans="3:27" x14ac:dyDescent="0.25">
      <c r="C24" s="5">
        <v>17</v>
      </c>
      <c r="J24" s="64"/>
      <c r="K24" s="32"/>
      <c r="M24" s="3" t="str">
        <f t="shared" si="1"/>
        <v>12</v>
      </c>
      <c r="N24" s="2" t="str">
        <f>MID(HEX2BIN($M24,8),COLUMNS($M24:M24),1)</f>
        <v>0</v>
      </c>
      <c r="O24" s="2" t="str">
        <f>MID(HEX2BIN($M24,8),COLUMNS($M24:N24),1)</f>
        <v>0</v>
      </c>
      <c r="P24" s="2" t="str">
        <f>MID(HEX2BIN($M24,8),COLUMNS($M24:O24),1)</f>
        <v>0</v>
      </c>
      <c r="Q24" s="2" t="str">
        <f>MID(HEX2BIN($M24,8),COLUMNS($M24:P24),1)</f>
        <v>1</v>
      </c>
      <c r="R24" s="2" t="str">
        <f>MID(HEX2BIN($M24,8),COLUMNS($M24:Q24),1)</f>
        <v>0</v>
      </c>
      <c r="S24" s="2" t="str">
        <f>MID(HEX2BIN($M24,8),COLUMNS($M24:R24),1)</f>
        <v>0</v>
      </c>
      <c r="T24" s="2" t="str">
        <f>MID(HEX2BIN($M24,8),COLUMNS($M24:S24),1)</f>
        <v>1</v>
      </c>
      <c r="U24" s="5" t="str">
        <f>MID(HEX2BIN($M24,8),COLUMNS($M24:T24),1)</f>
        <v>0</v>
      </c>
    </row>
    <row r="25" spans="3:27" x14ac:dyDescent="0.25">
      <c r="C25" s="5">
        <v>18</v>
      </c>
      <c r="J25" s="64"/>
      <c r="K25" s="32"/>
      <c r="M25" s="3" t="str">
        <f t="shared" si="1"/>
        <v>13</v>
      </c>
      <c r="N25" s="2" t="str">
        <f>MID(HEX2BIN($M25,8),COLUMNS($M25:M25),1)</f>
        <v>0</v>
      </c>
      <c r="O25" s="2" t="str">
        <f>MID(HEX2BIN($M25,8),COLUMNS($M25:N25),1)</f>
        <v>0</v>
      </c>
      <c r="P25" s="2" t="str">
        <f>MID(HEX2BIN($M25,8),COLUMNS($M25:O25),1)</f>
        <v>0</v>
      </c>
      <c r="Q25" s="2" t="str">
        <f>MID(HEX2BIN($M25,8),COLUMNS($M25:P25),1)</f>
        <v>1</v>
      </c>
      <c r="R25" s="2" t="str">
        <f>MID(HEX2BIN($M25,8),COLUMNS($M25:Q25),1)</f>
        <v>0</v>
      </c>
      <c r="S25" s="2" t="str">
        <f>MID(HEX2BIN($M25,8),COLUMNS($M25:R25),1)</f>
        <v>0</v>
      </c>
      <c r="T25" s="2" t="str">
        <f>MID(HEX2BIN($M25,8),COLUMNS($M25:S25),1)</f>
        <v>1</v>
      </c>
      <c r="U25" s="5" t="str">
        <f>MID(HEX2BIN($M25,8),COLUMNS($M25:T25),1)</f>
        <v>1</v>
      </c>
    </row>
    <row r="26" spans="3:27" x14ac:dyDescent="0.25">
      <c r="C26" s="5">
        <v>19</v>
      </c>
      <c r="J26" s="64"/>
      <c r="K26" s="32"/>
      <c r="M26" s="3" t="str">
        <f t="shared" si="1"/>
        <v>14</v>
      </c>
      <c r="N26" s="2" t="str">
        <f>MID(HEX2BIN($M26,8),COLUMNS($M26:M26),1)</f>
        <v>0</v>
      </c>
      <c r="O26" s="2" t="str">
        <f>MID(HEX2BIN($M26,8),COLUMNS($M26:N26),1)</f>
        <v>0</v>
      </c>
      <c r="P26" s="2" t="str">
        <f>MID(HEX2BIN($M26,8),COLUMNS($M26:O26),1)</f>
        <v>0</v>
      </c>
      <c r="Q26" s="2" t="str">
        <f>MID(HEX2BIN($M26,8),COLUMNS($M26:P26),1)</f>
        <v>1</v>
      </c>
      <c r="R26" s="2" t="str">
        <f>MID(HEX2BIN($M26,8),COLUMNS($M26:Q26),1)</f>
        <v>0</v>
      </c>
      <c r="S26" s="2" t="str">
        <f>MID(HEX2BIN($M26,8),COLUMNS($M26:R26),1)</f>
        <v>1</v>
      </c>
      <c r="T26" s="2" t="str">
        <f>MID(HEX2BIN($M26,8),COLUMNS($M26:S26),1)</f>
        <v>0</v>
      </c>
      <c r="U26" s="5" t="str">
        <f>MID(HEX2BIN($M26,8),COLUMNS($M26:T26),1)</f>
        <v>0</v>
      </c>
    </row>
    <row r="27" spans="3:27" x14ac:dyDescent="0.25">
      <c r="C27" s="5">
        <v>20</v>
      </c>
      <c r="J27" s="64"/>
      <c r="K27" s="32"/>
      <c r="M27" s="3" t="str">
        <f t="shared" si="1"/>
        <v>15</v>
      </c>
      <c r="N27" s="2" t="str">
        <f>MID(HEX2BIN($M27,8),COLUMNS($M27:M27),1)</f>
        <v>0</v>
      </c>
      <c r="O27" s="2" t="str">
        <f>MID(HEX2BIN($M27,8),COLUMNS($M27:N27),1)</f>
        <v>0</v>
      </c>
      <c r="P27" s="2" t="str">
        <f>MID(HEX2BIN($M27,8),COLUMNS($M27:O27),1)</f>
        <v>0</v>
      </c>
      <c r="Q27" s="2" t="str">
        <f>MID(HEX2BIN($M27,8),COLUMNS($M27:P27),1)</f>
        <v>1</v>
      </c>
      <c r="R27" s="2" t="str">
        <f>MID(HEX2BIN($M27,8),COLUMNS($M27:Q27),1)</f>
        <v>0</v>
      </c>
      <c r="S27" s="2" t="str">
        <f>MID(HEX2BIN($M27,8),COLUMNS($M27:R27),1)</f>
        <v>1</v>
      </c>
      <c r="T27" s="2" t="str">
        <f>MID(HEX2BIN($M27,8),COLUMNS($M27:S27),1)</f>
        <v>0</v>
      </c>
      <c r="U27" s="5" t="str">
        <f>MID(HEX2BIN($M27,8),COLUMNS($M27:T27),1)</f>
        <v>1</v>
      </c>
    </row>
    <row r="28" spans="3:27" x14ac:dyDescent="0.25">
      <c r="C28" s="5">
        <v>21</v>
      </c>
      <c r="J28" s="64"/>
      <c r="K28" s="32"/>
      <c r="M28" s="3" t="str">
        <f t="shared" si="1"/>
        <v>16</v>
      </c>
      <c r="N28" s="2" t="str">
        <f>MID(HEX2BIN($M28,8),COLUMNS($M28:M28),1)</f>
        <v>0</v>
      </c>
      <c r="O28" s="2" t="str">
        <f>MID(HEX2BIN($M28,8),COLUMNS($M28:N28),1)</f>
        <v>0</v>
      </c>
      <c r="P28" s="2" t="str">
        <f>MID(HEX2BIN($M28,8),COLUMNS($M28:O28),1)</f>
        <v>0</v>
      </c>
      <c r="Q28" s="2" t="str">
        <f>MID(HEX2BIN($M28,8),COLUMNS($M28:P28),1)</f>
        <v>1</v>
      </c>
      <c r="R28" s="2" t="str">
        <f>MID(HEX2BIN($M28,8),COLUMNS($M28:Q28),1)</f>
        <v>0</v>
      </c>
      <c r="S28" s="2" t="str">
        <f>MID(HEX2BIN($M28,8),COLUMNS($M28:R28),1)</f>
        <v>1</v>
      </c>
      <c r="T28" s="2" t="str">
        <f>MID(HEX2BIN($M28,8),COLUMNS($M28:S28),1)</f>
        <v>1</v>
      </c>
      <c r="U28" s="5" t="str">
        <f>MID(HEX2BIN($M28,8),COLUMNS($M28:T28),1)</f>
        <v>0</v>
      </c>
    </row>
    <row r="29" spans="3:27" x14ac:dyDescent="0.25">
      <c r="C29" s="5">
        <v>22</v>
      </c>
      <c r="J29" s="64"/>
      <c r="K29" s="32"/>
      <c r="M29" s="3" t="str">
        <f t="shared" si="1"/>
        <v>17</v>
      </c>
      <c r="N29" s="2" t="str">
        <f>MID(HEX2BIN($M29,8),COLUMNS($M29:M29),1)</f>
        <v>0</v>
      </c>
      <c r="O29" s="2" t="str">
        <f>MID(HEX2BIN($M29,8),COLUMNS($M29:N29),1)</f>
        <v>0</v>
      </c>
      <c r="P29" s="2" t="str">
        <f>MID(HEX2BIN($M29,8),COLUMNS($M29:O29),1)</f>
        <v>0</v>
      </c>
      <c r="Q29" s="2" t="str">
        <f>MID(HEX2BIN($M29,8),COLUMNS($M29:P29),1)</f>
        <v>1</v>
      </c>
      <c r="R29" s="2" t="str">
        <f>MID(HEX2BIN($M29,8),COLUMNS($M29:Q29),1)</f>
        <v>0</v>
      </c>
      <c r="S29" s="2" t="str">
        <f>MID(HEX2BIN($M29,8),COLUMNS($M29:R29),1)</f>
        <v>1</v>
      </c>
      <c r="T29" s="2" t="str">
        <f>MID(HEX2BIN($M29,8),COLUMNS($M29:S29),1)</f>
        <v>1</v>
      </c>
      <c r="U29" s="5" t="str">
        <f>MID(HEX2BIN($M29,8),COLUMNS($M29:T29),1)</f>
        <v>1</v>
      </c>
    </row>
    <row r="30" spans="3:27" x14ac:dyDescent="0.25">
      <c r="J30" s="64"/>
      <c r="K30" s="32"/>
      <c r="M30" s="3" t="str">
        <f t="shared" si="1"/>
        <v>18</v>
      </c>
      <c r="N30" s="2" t="str">
        <f>MID(HEX2BIN($M30,8),COLUMNS($M30:M30),1)</f>
        <v>0</v>
      </c>
      <c r="O30" s="2" t="str">
        <f>MID(HEX2BIN($M30,8),COLUMNS($M30:N30),1)</f>
        <v>0</v>
      </c>
      <c r="P30" s="2" t="str">
        <f>MID(HEX2BIN($M30,8),COLUMNS($M30:O30),1)</f>
        <v>0</v>
      </c>
      <c r="Q30" s="2" t="str">
        <f>MID(HEX2BIN($M30,8),COLUMNS($M30:P30),1)</f>
        <v>1</v>
      </c>
      <c r="R30" s="2" t="str">
        <f>MID(HEX2BIN($M30,8),COLUMNS($M30:Q30),1)</f>
        <v>1</v>
      </c>
      <c r="S30" s="2" t="str">
        <f>MID(HEX2BIN($M30,8),COLUMNS($M30:R30),1)</f>
        <v>0</v>
      </c>
      <c r="T30" s="2" t="str">
        <f>MID(HEX2BIN($M30,8),COLUMNS($M30:S30),1)</f>
        <v>0</v>
      </c>
      <c r="U30" s="5" t="str">
        <f>MID(HEX2BIN($M30,8),COLUMNS($M30:T30),1)</f>
        <v>0</v>
      </c>
    </row>
    <row r="31" spans="3:27" x14ac:dyDescent="0.25">
      <c r="J31" s="64"/>
      <c r="K31" s="32"/>
      <c r="M31" s="3" t="str">
        <f t="shared" si="1"/>
        <v>19</v>
      </c>
      <c r="N31" s="2" t="str">
        <f>MID(HEX2BIN($M31,8),COLUMNS($M31:M31),1)</f>
        <v>0</v>
      </c>
      <c r="O31" s="2" t="str">
        <f>MID(HEX2BIN($M31,8),COLUMNS($M31:N31),1)</f>
        <v>0</v>
      </c>
      <c r="P31" s="2" t="str">
        <f>MID(HEX2BIN($M31,8),COLUMNS($M31:O31),1)</f>
        <v>0</v>
      </c>
      <c r="Q31" s="2" t="str">
        <f>MID(HEX2BIN($M31,8),COLUMNS($M31:P31),1)</f>
        <v>1</v>
      </c>
      <c r="R31" s="2" t="str">
        <f>MID(HEX2BIN($M31,8),COLUMNS($M31:Q31),1)</f>
        <v>1</v>
      </c>
      <c r="S31" s="2" t="str">
        <f>MID(HEX2BIN($M31,8),COLUMNS($M31:R31),1)</f>
        <v>0</v>
      </c>
      <c r="T31" s="2" t="str">
        <f>MID(HEX2BIN($M31,8),COLUMNS($M31:S31),1)</f>
        <v>0</v>
      </c>
      <c r="U31" s="5" t="str">
        <f>MID(HEX2BIN($M31,8),COLUMNS($M31:T31),1)</f>
        <v>1</v>
      </c>
    </row>
    <row r="32" spans="3:27" x14ac:dyDescent="0.25">
      <c r="J32" s="64"/>
      <c r="K32" s="32"/>
      <c r="M32" s="3" t="str">
        <f t="shared" si="1"/>
        <v>1A</v>
      </c>
      <c r="N32" s="2" t="str">
        <f>MID(HEX2BIN($M32,8),COLUMNS($M32:M32),1)</f>
        <v>0</v>
      </c>
      <c r="O32" s="2" t="str">
        <f>MID(HEX2BIN($M32,8),COLUMNS($M32:N32),1)</f>
        <v>0</v>
      </c>
      <c r="P32" s="2" t="str">
        <f>MID(HEX2BIN($M32,8),COLUMNS($M32:O32),1)</f>
        <v>0</v>
      </c>
      <c r="Q32" s="2" t="str">
        <f>MID(HEX2BIN($M32,8),COLUMNS($M32:P32),1)</f>
        <v>1</v>
      </c>
      <c r="R32" s="2" t="str">
        <f>MID(HEX2BIN($M32,8),COLUMNS($M32:Q32),1)</f>
        <v>1</v>
      </c>
      <c r="S32" s="2" t="str">
        <f>MID(HEX2BIN($M32,8),COLUMNS($M32:R32),1)</f>
        <v>0</v>
      </c>
      <c r="T32" s="2" t="str">
        <f>MID(HEX2BIN($M32,8),COLUMNS($M32:S32),1)</f>
        <v>1</v>
      </c>
      <c r="U32" s="5" t="str">
        <f>MID(HEX2BIN($M32,8),COLUMNS($M32:T32),1)</f>
        <v>0</v>
      </c>
    </row>
    <row r="33" spans="10:21" x14ac:dyDescent="0.25">
      <c r="J33" s="64"/>
      <c r="K33" s="32"/>
      <c r="M33" s="3" t="str">
        <f t="shared" si="1"/>
        <v>1B</v>
      </c>
      <c r="N33" s="2" t="str">
        <f>MID(HEX2BIN($M33,8),COLUMNS($M33:M33),1)</f>
        <v>0</v>
      </c>
      <c r="O33" s="2" t="str">
        <f>MID(HEX2BIN($M33,8),COLUMNS($M33:N33),1)</f>
        <v>0</v>
      </c>
      <c r="P33" s="2" t="str">
        <f>MID(HEX2BIN($M33,8),COLUMNS($M33:O33),1)</f>
        <v>0</v>
      </c>
      <c r="Q33" s="2" t="str">
        <f>MID(HEX2BIN($M33,8),COLUMNS($M33:P33),1)</f>
        <v>1</v>
      </c>
      <c r="R33" s="2" t="str">
        <f>MID(HEX2BIN($M33,8),COLUMNS($M33:Q33),1)</f>
        <v>1</v>
      </c>
      <c r="S33" s="2" t="str">
        <f>MID(HEX2BIN($M33,8),COLUMNS($M33:R33),1)</f>
        <v>0</v>
      </c>
      <c r="T33" s="2" t="str">
        <f>MID(HEX2BIN($M33,8),COLUMNS($M33:S33),1)</f>
        <v>1</v>
      </c>
      <c r="U33" s="5" t="str">
        <f>MID(HEX2BIN($M33,8),COLUMNS($M33:T33),1)</f>
        <v>1</v>
      </c>
    </row>
    <row r="34" spans="10:21" x14ac:dyDescent="0.25">
      <c r="J34" s="64"/>
      <c r="K34" s="32"/>
      <c r="M34" s="3" t="str">
        <f t="shared" si="1"/>
        <v>1C</v>
      </c>
      <c r="N34" s="2" t="str">
        <f>MID(HEX2BIN($M34,8),COLUMNS($M34:M34),1)</f>
        <v>0</v>
      </c>
      <c r="O34" s="2" t="str">
        <f>MID(HEX2BIN($M34,8),COLUMNS($M34:N34),1)</f>
        <v>0</v>
      </c>
      <c r="P34" s="2" t="str">
        <f>MID(HEX2BIN($M34,8),COLUMNS($M34:O34),1)</f>
        <v>0</v>
      </c>
      <c r="Q34" s="2" t="str">
        <f>MID(HEX2BIN($M34,8),COLUMNS($M34:P34),1)</f>
        <v>1</v>
      </c>
      <c r="R34" s="2" t="str">
        <f>MID(HEX2BIN($M34,8),COLUMNS($M34:Q34),1)</f>
        <v>1</v>
      </c>
      <c r="S34" s="2" t="str">
        <f>MID(HEX2BIN($M34,8),COLUMNS($M34:R34),1)</f>
        <v>1</v>
      </c>
      <c r="T34" s="2" t="str">
        <f>MID(HEX2BIN($M34,8),COLUMNS($M34:S34),1)</f>
        <v>0</v>
      </c>
      <c r="U34" s="5" t="str">
        <f>MID(HEX2BIN($M34,8),COLUMNS($M34:T34),1)</f>
        <v>0</v>
      </c>
    </row>
    <row r="35" spans="10:21" x14ac:dyDescent="0.25">
      <c r="J35" s="64"/>
      <c r="K35" s="32"/>
      <c r="M35" s="3" t="str">
        <f t="shared" si="1"/>
        <v>1D</v>
      </c>
      <c r="N35" s="2" t="str">
        <f>MID(HEX2BIN($M35,8),COLUMNS($M35:M35),1)</f>
        <v>0</v>
      </c>
      <c r="O35" s="2" t="str">
        <f>MID(HEX2BIN($M35,8),COLUMNS($M35:N35),1)</f>
        <v>0</v>
      </c>
      <c r="P35" s="2" t="str">
        <f>MID(HEX2BIN($M35,8),COLUMNS($M35:O35),1)</f>
        <v>0</v>
      </c>
      <c r="Q35" s="2" t="str">
        <f>MID(HEX2BIN($M35,8),COLUMNS($M35:P35),1)</f>
        <v>1</v>
      </c>
      <c r="R35" s="2" t="str">
        <f>MID(HEX2BIN($M35,8),COLUMNS($M35:Q35),1)</f>
        <v>1</v>
      </c>
      <c r="S35" s="2" t="str">
        <f>MID(HEX2BIN($M35,8),COLUMNS($M35:R35),1)</f>
        <v>1</v>
      </c>
      <c r="T35" s="2" t="str">
        <f>MID(HEX2BIN($M35,8),COLUMNS($M35:S35),1)</f>
        <v>0</v>
      </c>
      <c r="U35" s="5" t="str">
        <f>MID(HEX2BIN($M35,8),COLUMNS($M35:T35),1)</f>
        <v>1</v>
      </c>
    </row>
    <row r="36" spans="10:21" x14ac:dyDescent="0.25">
      <c r="J36" s="64"/>
      <c r="K36" s="32"/>
      <c r="M36" s="3" t="str">
        <f t="shared" si="1"/>
        <v>1E</v>
      </c>
      <c r="N36" s="2" t="str">
        <f>MID(HEX2BIN($M36,8),COLUMNS($M36:M36),1)</f>
        <v>0</v>
      </c>
      <c r="O36" s="2" t="str">
        <f>MID(HEX2BIN($M36,8),COLUMNS($M36:N36),1)</f>
        <v>0</v>
      </c>
      <c r="P36" s="2" t="str">
        <f>MID(HEX2BIN($M36,8),COLUMNS($M36:O36),1)</f>
        <v>0</v>
      </c>
      <c r="Q36" s="2" t="str">
        <f>MID(HEX2BIN($M36,8),COLUMNS($M36:P36),1)</f>
        <v>1</v>
      </c>
      <c r="R36" s="2" t="str">
        <f>MID(HEX2BIN($M36,8),COLUMNS($M36:Q36),1)</f>
        <v>1</v>
      </c>
      <c r="S36" s="2" t="str">
        <f>MID(HEX2BIN($M36,8),COLUMNS($M36:R36),1)</f>
        <v>1</v>
      </c>
      <c r="T36" s="2" t="str">
        <f>MID(HEX2BIN($M36,8),COLUMNS($M36:S36),1)</f>
        <v>1</v>
      </c>
      <c r="U36" s="5" t="str">
        <f>MID(HEX2BIN($M36,8),COLUMNS($M36:T36),1)</f>
        <v>0</v>
      </c>
    </row>
    <row r="37" spans="10:21" x14ac:dyDescent="0.25">
      <c r="J37" s="64"/>
      <c r="K37" s="32"/>
      <c r="M37" s="3" t="str">
        <f t="shared" si="1"/>
        <v>1F</v>
      </c>
      <c r="N37" s="2" t="str">
        <f>MID(HEX2BIN($M37,8),COLUMNS($M37:M37),1)</f>
        <v>0</v>
      </c>
      <c r="O37" s="2" t="str">
        <f>MID(HEX2BIN($M37,8),COLUMNS($M37:N37),1)</f>
        <v>0</v>
      </c>
      <c r="P37" s="2" t="str">
        <f>MID(HEX2BIN($M37,8),COLUMNS($M37:O37),1)</f>
        <v>0</v>
      </c>
      <c r="Q37" s="2" t="str">
        <f>MID(HEX2BIN($M37,8),COLUMNS($M37:P37),1)</f>
        <v>1</v>
      </c>
      <c r="R37" s="2" t="str">
        <f>MID(HEX2BIN($M37,8),COLUMNS($M37:Q37),1)</f>
        <v>1</v>
      </c>
      <c r="S37" s="2" t="str">
        <f>MID(HEX2BIN($M37,8),COLUMNS($M37:R37),1)</f>
        <v>1</v>
      </c>
      <c r="T37" s="2" t="str">
        <f>MID(HEX2BIN($M37,8),COLUMNS($M37:S37),1)</f>
        <v>1</v>
      </c>
      <c r="U37" s="5" t="str">
        <f>MID(HEX2BIN($M37,8),COLUMNS($M37:T37),1)</f>
        <v>1</v>
      </c>
    </row>
    <row r="38" spans="10:21" x14ac:dyDescent="0.25">
      <c r="J38" s="64"/>
      <c r="K38" s="32"/>
      <c r="M38" s="3" t="str">
        <f t="shared" si="1"/>
        <v>20</v>
      </c>
      <c r="N38" s="2" t="str">
        <f>MID(HEX2BIN($M38,8),COLUMNS($M38:M38),1)</f>
        <v>0</v>
      </c>
      <c r="O38" s="2" t="str">
        <f>MID(HEX2BIN($M38,8),COLUMNS($M38:N38),1)</f>
        <v>0</v>
      </c>
      <c r="P38" s="2" t="str">
        <f>MID(HEX2BIN($M38,8),COLUMNS($M38:O38),1)</f>
        <v>1</v>
      </c>
      <c r="Q38" s="2" t="str">
        <f>MID(HEX2BIN($M38,8),COLUMNS($M38:P38),1)</f>
        <v>0</v>
      </c>
      <c r="R38" s="2" t="str">
        <f>MID(HEX2BIN($M38,8),COLUMNS($M38:Q38),1)</f>
        <v>0</v>
      </c>
      <c r="S38" s="2" t="str">
        <f>MID(HEX2BIN($M38,8),COLUMNS($M38:R38),1)</f>
        <v>0</v>
      </c>
      <c r="T38" s="2" t="str">
        <f>MID(HEX2BIN($M38,8),COLUMNS($M38:S38),1)</f>
        <v>0</v>
      </c>
      <c r="U38" s="5" t="str">
        <f>MID(HEX2BIN($M38,8),COLUMNS($M38:T38),1)</f>
        <v>0</v>
      </c>
    </row>
    <row r="39" spans="10:21" x14ac:dyDescent="0.25">
      <c r="J39" s="64"/>
      <c r="K39" s="32"/>
      <c r="M39" s="3" t="str">
        <f t="shared" si="1"/>
        <v>21</v>
      </c>
      <c r="N39" s="2" t="str">
        <f>MID(HEX2BIN($M39,8),COLUMNS($M39:M39),1)</f>
        <v>0</v>
      </c>
      <c r="O39" s="2" t="str">
        <f>MID(HEX2BIN($M39,8),COLUMNS($M39:N39),1)</f>
        <v>0</v>
      </c>
      <c r="P39" s="2" t="str">
        <f>MID(HEX2BIN($M39,8),COLUMNS($M39:O39),1)</f>
        <v>1</v>
      </c>
      <c r="Q39" s="2" t="str">
        <f>MID(HEX2BIN($M39,8),COLUMNS($M39:P39),1)</f>
        <v>0</v>
      </c>
      <c r="R39" s="2" t="str">
        <f>MID(HEX2BIN($M39,8),COLUMNS($M39:Q39),1)</f>
        <v>0</v>
      </c>
      <c r="S39" s="2" t="str">
        <f>MID(HEX2BIN($M39,8),COLUMNS($M39:R39),1)</f>
        <v>0</v>
      </c>
      <c r="T39" s="2" t="str">
        <f>MID(HEX2BIN($M39,8),COLUMNS($M39:S39),1)</f>
        <v>0</v>
      </c>
      <c r="U39" s="5" t="str">
        <f>MID(HEX2BIN($M39,8),COLUMNS($M39:T39),1)</f>
        <v>1</v>
      </c>
    </row>
    <row r="40" spans="10:21" x14ac:dyDescent="0.25">
      <c r="J40" s="64"/>
      <c r="K40" s="32"/>
      <c r="M40" s="3" t="str">
        <f t="shared" si="1"/>
        <v>22</v>
      </c>
      <c r="N40" s="2" t="str">
        <f>MID(HEX2BIN($M40,8),COLUMNS($M40:M40),1)</f>
        <v>0</v>
      </c>
      <c r="O40" s="2" t="str">
        <f>MID(HEX2BIN($M40,8),COLUMNS($M40:N40),1)</f>
        <v>0</v>
      </c>
      <c r="P40" s="2" t="str">
        <f>MID(HEX2BIN($M40,8),COLUMNS($M40:O40),1)</f>
        <v>1</v>
      </c>
      <c r="Q40" s="2" t="str">
        <f>MID(HEX2BIN($M40,8),COLUMNS($M40:P40),1)</f>
        <v>0</v>
      </c>
      <c r="R40" s="2" t="str">
        <f>MID(HEX2BIN($M40,8),COLUMNS($M40:Q40),1)</f>
        <v>0</v>
      </c>
      <c r="S40" s="2" t="str">
        <f>MID(HEX2BIN($M40,8),COLUMNS($M40:R40),1)</f>
        <v>0</v>
      </c>
      <c r="T40" s="2" t="str">
        <f>MID(HEX2BIN($M40,8),COLUMNS($M40:S40),1)</f>
        <v>1</v>
      </c>
      <c r="U40" s="5" t="str">
        <f>MID(HEX2BIN($M40,8),COLUMNS($M40:T40),1)</f>
        <v>0</v>
      </c>
    </row>
    <row r="41" spans="10:21" x14ac:dyDescent="0.25">
      <c r="J41" s="64"/>
      <c r="K41" s="32"/>
      <c r="M41" s="3" t="str">
        <f t="shared" si="1"/>
        <v>23</v>
      </c>
      <c r="N41" s="2" t="str">
        <f>MID(HEX2BIN($M41,8),COLUMNS($M41:M41),1)</f>
        <v>0</v>
      </c>
      <c r="O41" s="2" t="str">
        <f>MID(HEX2BIN($M41,8),COLUMNS($M41:N41),1)</f>
        <v>0</v>
      </c>
      <c r="P41" s="2" t="str">
        <f>MID(HEX2BIN($M41,8),COLUMNS($M41:O41),1)</f>
        <v>1</v>
      </c>
      <c r="Q41" s="2" t="str">
        <f>MID(HEX2BIN($M41,8),COLUMNS($M41:P41),1)</f>
        <v>0</v>
      </c>
      <c r="R41" s="2" t="str">
        <f>MID(HEX2BIN($M41,8),COLUMNS($M41:Q41),1)</f>
        <v>0</v>
      </c>
      <c r="S41" s="2" t="str">
        <f>MID(HEX2BIN($M41,8),COLUMNS($M41:R41),1)</f>
        <v>0</v>
      </c>
      <c r="T41" s="2" t="str">
        <f>MID(HEX2BIN($M41,8),COLUMNS($M41:S41),1)</f>
        <v>1</v>
      </c>
      <c r="U41" s="5" t="str">
        <f>MID(HEX2BIN($M41,8),COLUMNS($M41:T41),1)</f>
        <v>1</v>
      </c>
    </row>
    <row r="42" spans="10:21" x14ac:dyDescent="0.25">
      <c r="J42" s="64"/>
      <c r="K42" s="32"/>
      <c r="M42" s="3" t="str">
        <f t="shared" si="1"/>
        <v>24</v>
      </c>
      <c r="N42" s="2" t="str">
        <f>MID(HEX2BIN($M42,8),COLUMNS($M42:M42),1)</f>
        <v>0</v>
      </c>
      <c r="O42" s="2" t="str">
        <f>MID(HEX2BIN($M42,8),COLUMNS($M42:N42),1)</f>
        <v>0</v>
      </c>
      <c r="P42" s="2" t="str">
        <f>MID(HEX2BIN($M42,8),COLUMNS($M42:O42),1)</f>
        <v>1</v>
      </c>
      <c r="Q42" s="2" t="str">
        <f>MID(HEX2BIN($M42,8),COLUMNS($M42:P42),1)</f>
        <v>0</v>
      </c>
      <c r="R42" s="2" t="str">
        <f>MID(HEX2BIN($M42,8),COLUMNS($M42:Q42),1)</f>
        <v>0</v>
      </c>
      <c r="S42" s="2" t="str">
        <f>MID(HEX2BIN($M42,8),COLUMNS($M42:R42),1)</f>
        <v>1</v>
      </c>
      <c r="T42" s="2" t="str">
        <f>MID(HEX2BIN($M42,8),COLUMNS($M42:S42),1)</f>
        <v>0</v>
      </c>
      <c r="U42" s="5" t="str">
        <f>MID(HEX2BIN($M42,8),COLUMNS($M42:T42),1)</f>
        <v>0</v>
      </c>
    </row>
    <row r="43" spans="10:21" x14ac:dyDescent="0.25">
      <c r="J43" s="64"/>
      <c r="K43" s="32"/>
      <c r="M43" s="3" t="str">
        <f t="shared" si="1"/>
        <v>25</v>
      </c>
      <c r="N43" s="2" t="str">
        <f>MID(HEX2BIN($M43,8),COLUMNS($M43:M43),1)</f>
        <v>0</v>
      </c>
      <c r="O43" s="2" t="str">
        <f>MID(HEX2BIN($M43,8),COLUMNS($M43:N43),1)</f>
        <v>0</v>
      </c>
      <c r="P43" s="2" t="str">
        <f>MID(HEX2BIN($M43,8),COLUMNS($M43:O43),1)</f>
        <v>1</v>
      </c>
      <c r="Q43" s="2" t="str">
        <f>MID(HEX2BIN($M43,8),COLUMNS($M43:P43),1)</f>
        <v>0</v>
      </c>
      <c r="R43" s="2" t="str">
        <f>MID(HEX2BIN($M43,8),COLUMNS($M43:Q43),1)</f>
        <v>0</v>
      </c>
      <c r="S43" s="2" t="str">
        <f>MID(HEX2BIN($M43,8),COLUMNS($M43:R43),1)</f>
        <v>1</v>
      </c>
      <c r="T43" s="2" t="str">
        <f>MID(HEX2BIN($M43,8),COLUMNS($M43:S43),1)</f>
        <v>0</v>
      </c>
      <c r="U43" s="5" t="str">
        <f>MID(HEX2BIN($M43,8),COLUMNS($M43:T43),1)</f>
        <v>1</v>
      </c>
    </row>
    <row r="44" spans="10:21" x14ac:dyDescent="0.25">
      <c r="J44" s="64"/>
      <c r="K44" s="32"/>
      <c r="M44" s="3" t="str">
        <f t="shared" si="1"/>
        <v>26</v>
      </c>
      <c r="N44" s="2" t="str">
        <f>MID(HEX2BIN($M44,8),COLUMNS($M44:M44),1)</f>
        <v>0</v>
      </c>
      <c r="O44" s="2" t="str">
        <f>MID(HEX2BIN($M44,8),COLUMNS($M44:N44),1)</f>
        <v>0</v>
      </c>
      <c r="P44" s="2" t="str">
        <f>MID(HEX2BIN($M44,8),COLUMNS($M44:O44),1)</f>
        <v>1</v>
      </c>
      <c r="Q44" s="2" t="str">
        <f>MID(HEX2BIN($M44,8),COLUMNS($M44:P44),1)</f>
        <v>0</v>
      </c>
      <c r="R44" s="2" t="str">
        <f>MID(HEX2BIN($M44,8),COLUMNS($M44:Q44),1)</f>
        <v>0</v>
      </c>
      <c r="S44" s="2" t="str">
        <f>MID(HEX2BIN($M44,8),COLUMNS($M44:R44),1)</f>
        <v>1</v>
      </c>
      <c r="T44" s="2" t="str">
        <f>MID(HEX2BIN($M44,8),COLUMNS($M44:S44),1)</f>
        <v>1</v>
      </c>
      <c r="U44" s="5" t="str">
        <f>MID(HEX2BIN($M44,8),COLUMNS($M44:T44),1)</f>
        <v>0</v>
      </c>
    </row>
    <row r="45" spans="10:21" x14ac:dyDescent="0.25">
      <c r="J45" s="64"/>
      <c r="K45" s="32"/>
      <c r="M45" s="3" t="str">
        <f t="shared" si="1"/>
        <v>27</v>
      </c>
      <c r="N45" s="2" t="str">
        <f>MID(HEX2BIN($M45,8),COLUMNS($M45:M45),1)</f>
        <v>0</v>
      </c>
      <c r="O45" s="2" t="str">
        <f>MID(HEX2BIN($M45,8),COLUMNS($M45:N45),1)</f>
        <v>0</v>
      </c>
      <c r="P45" s="2" t="str">
        <f>MID(HEX2BIN($M45,8),COLUMNS($M45:O45),1)</f>
        <v>1</v>
      </c>
      <c r="Q45" s="2" t="str">
        <f>MID(HEX2BIN($M45,8),COLUMNS($M45:P45),1)</f>
        <v>0</v>
      </c>
      <c r="R45" s="2" t="str">
        <f>MID(HEX2BIN($M45,8),COLUMNS($M45:Q45),1)</f>
        <v>0</v>
      </c>
      <c r="S45" s="2" t="str">
        <f>MID(HEX2BIN($M45,8),COLUMNS($M45:R45),1)</f>
        <v>1</v>
      </c>
      <c r="T45" s="2" t="str">
        <f>MID(HEX2BIN($M45,8),COLUMNS($M45:S45),1)</f>
        <v>1</v>
      </c>
      <c r="U45" s="5" t="str">
        <f>MID(HEX2BIN($M45,8),COLUMNS($M45:T45),1)</f>
        <v>1</v>
      </c>
    </row>
    <row r="46" spans="10:21" x14ac:dyDescent="0.25">
      <c r="J46" s="64"/>
      <c r="K46" s="32"/>
      <c r="M46" s="3" t="str">
        <f t="shared" si="1"/>
        <v>28</v>
      </c>
      <c r="N46" s="2" t="str">
        <f>MID(HEX2BIN($M46,8),COLUMNS($M46:M46),1)</f>
        <v>0</v>
      </c>
      <c r="O46" s="2" t="str">
        <f>MID(HEX2BIN($M46,8),COLUMNS($M46:N46),1)</f>
        <v>0</v>
      </c>
      <c r="P46" s="2" t="str">
        <f>MID(HEX2BIN($M46,8),COLUMNS($M46:O46),1)</f>
        <v>1</v>
      </c>
      <c r="Q46" s="2" t="str">
        <f>MID(HEX2BIN($M46,8),COLUMNS($M46:P46),1)</f>
        <v>0</v>
      </c>
      <c r="R46" s="2" t="str">
        <f>MID(HEX2BIN($M46,8),COLUMNS($M46:Q46),1)</f>
        <v>1</v>
      </c>
      <c r="S46" s="2" t="str">
        <f>MID(HEX2BIN($M46,8),COLUMNS($M46:R46),1)</f>
        <v>0</v>
      </c>
      <c r="T46" s="2" t="str">
        <f>MID(HEX2BIN($M46,8),COLUMNS($M46:S46),1)</f>
        <v>0</v>
      </c>
      <c r="U46" s="5" t="str">
        <f>MID(HEX2BIN($M46,8),COLUMNS($M46:T46),1)</f>
        <v>0</v>
      </c>
    </row>
    <row r="47" spans="10:21" x14ac:dyDescent="0.25">
      <c r="J47" s="64"/>
      <c r="K47" s="32"/>
      <c r="M47" s="3" t="str">
        <f t="shared" si="1"/>
        <v>29</v>
      </c>
      <c r="N47" s="2" t="str">
        <f>MID(HEX2BIN($M47,8),COLUMNS($M47:M47),1)</f>
        <v>0</v>
      </c>
      <c r="O47" s="2" t="str">
        <f>MID(HEX2BIN($M47,8),COLUMNS($M47:N47),1)</f>
        <v>0</v>
      </c>
      <c r="P47" s="2" t="str">
        <f>MID(HEX2BIN($M47,8),COLUMNS($M47:O47),1)</f>
        <v>1</v>
      </c>
      <c r="Q47" s="2" t="str">
        <f>MID(HEX2BIN($M47,8),COLUMNS($M47:P47),1)</f>
        <v>0</v>
      </c>
      <c r="R47" s="2" t="str">
        <f>MID(HEX2BIN($M47,8),COLUMNS($M47:Q47),1)</f>
        <v>1</v>
      </c>
      <c r="S47" s="2" t="str">
        <f>MID(HEX2BIN($M47,8),COLUMNS($M47:R47),1)</f>
        <v>0</v>
      </c>
      <c r="T47" s="2" t="str">
        <f>MID(HEX2BIN($M47,8),COLUMNS($M47:S47),1)</f>
        <v>0</v>
      </c>
      <c r="U47" s="5" t="str">
        <f>MID(HEX2BIN($M47,8),COLUMNS($M47:T47),1)</f>
        <v>1</v>
      </c>
    </row>
    <row r="48" spans="10:21" x14ac:dyDescent="0.25">
      <c r="J48" s="64"/>
      <c r="K48" s="32"/>
      <c r="M48" s="3" t="str">
        <f t="shared" si="1"/>
        <v>2A</v>
      </c>
      <c r="N48" s="2" t="str">
        <f>MID(HEX2BIN($M48,8),COLUMNS($M48:M48),1)</f>
        <v>0</v>
      </c>
      <c r="O48" s="2" t="str">
        <f>MID(HEX2BIN($M48,8),COLUMNS($M48:N48),1)</f>
        <v>0</v>
      </c>
      <c r="P48" s="2" t="str">
        <f>MID(HEX2BIN($M48,8),COLUMNS($M48:O48),1)</f>
        <v>1</v>
      </c>
      <c r="Q48" s="2" t="str">
        <f>MID(HEX2BIN($M48,8),COLUMNS($M48:P48),1)</f>
        <v>0</v>
      </c>
      <c r="R48" s="2" t="str">
        <f>MID(HEX2BIN($M48,8),COLUMNS($M48:Q48),1)</f>
        <v>1</v>
      </c>
      <c r="S48" s="2" t="str">
        <f>MID(HEX2BIN($M48,8),COLUMNS($M48:R48),1)</f>
        <v>0</v>
      </c>
      <c r="T48" s="2" t="str">
        <f>MID(HEX2BIN($M48,8),COLUMNS($M48:S48),1)</f>
        <v>1</v>
      </c>
      <c r="U48" s="5" t="str">
        <f>MID(HEX2BIN($M48,8),COLUMNS($M48:T48),1)</f>
        <v>0</v>
      </c>
    </row>
    <row r="49" spans="10:21" x14ac:dyDescent="0.25">
      <c r="J49" s="64"/>
      <c r="K49" s="32"/>
      <c r="M49" s="3" t="str">
        <f t="shared" si="1"/>
        <v>2B</v>
      </c>
      <c r="N49" s="2" t="str">
        <f>MID(HEX2BIN($M49,8),COLUMNS($M49:M49),1)</f>
        <v>0</v>
      </c>
      <c r="O49" s="2" t="str">
        <f>MID(HEX2BIN($M49,8),COLUMNS($M49:N49),1)</f>
        <v>0</v>
      </c>
      <c r="P49" s="2" t="str">
        <f>MID(HEX2BIN($M49,8),COLUMNS($M49:O49),1)</f>
        <v>1</v>
      </c>
      <c r="Q49" s="2" t="str">
        <f>MID(HEX2BIN($M49,8),COLUMNS($M49:P49),1)</f>
        <v>0</v>
      </c>
      <c r="R49" s="2" t="str">
        <f>MID(HEX2BIN($M49,8),COLUMNS($M49:Q49),1)</f>
        <v>1</v>
      </c>
      <c r="S49" s="2" t="str">
        <f>MID(HEX2BIN($M49,8),COLUMNS($M49:R49),1)</f>
        <v>0</v>
      </c>
      <c r="T49" s="2" t="str">
        <f>MID(HEX2BIN($M49,8),COLUMNS($M49:S49),1)</f>
        <v>1</v>
      </c>
      <c r="U49" s="5" t="str">
        <f>MID(HEX2BIN($M49,8),COLUMNS($M49:T49),1)</f>
        <v>1</v>
      </c>
    </row>
    <row r="50" spans="10:21" x14ac:dyDescent="0.25">
      <c r="J50" s="64"/>
      <c r="K50" s="32"/>
      <c r="M50" s="3" t="str">
        <f t="shared" si="1"/>
        <v>2C</v>
      </c>
      <c r="N50" s="2" t="str">
        <f>MID(HEX2BIN($M50,8),COLUMNS($M50:M50),1)</f>
        <v>0</v>
      </c>
      <c r="O50" s="2" t="str">
        <f>MID(HEX2BIN($M50,8),COLUMNS($M50:N50),1)</f>
        <v>0</v>
      </c>
      <c r="P50" s="2" t="str">
        <f>MID(HEX2BIN($M50,8),COLUMNS($M50:O50),1)</f>
        <v>1</v>
      </c>
      <c r="Q50" s="2" t="str">
        <f>MID(HEX2BIN($M50,8),COLUMNS($M50:P50),1)</f>
        <v>0</v>
      </c>
      <c r="R50" s="2" t="str">
        <f>MID(HEX2BIN($M50,8),COLUMNS($M50:Q50),1)</f>
        <v>1</v>
      </c>
      <c r="S50" s="2" t="str">
        <f>MID(HEX2BIN($M50,8),COLUMNS($M50:R50),1)</f>
        <v>1</v>
      </c>
      <c r="T50" s="2" t="str">
        <f>MID(HEX2BIN($M50,8),COLUMNS($M50:S50),1)</f>
        <v>0</v>
      </c>
      <c r="U50" s="5" t="str">
        <f>MID(HEX2BIN($M50,8),COLUMNS($M50:T50),1)</f>
        <v>0</v>
      </c>
    </row>
    <row r="51" spans="10:21" x14ac:dyDescent="0.25">
      <c r="J51" s="64"/>
      <c r="K51" s="32"/>
      <c r="M51" s="3" t="str">
        <f t="shared" si="1"/>
        <v>2D</v>
      </c>
      <c r="N51" s="2" t="str">
        <f>MID(HEX2BIN($M51,8),COLUMNS($M51:M51),1)</f>
        <v>0</v>
      </c>
      <c r="O51" s="2" t="str">
        <f>MID(HEX2BIN($M51,8),COLUMNS($M51:N51),1)</f>
        <v>0</v>
      </c>
      <c r="P51" s="2" t="str">
        <f>MID(HEX2BIN($M51,8),COLUMNS($M51:O51),1)</f>
        <v>1</v>
      </c>
      <c r="Q51" s="2" t="str">
        <f>MID(HEX2BIN($M51,8),COLUMNS($M51:P51),1)</f>
        <v>0</v>
      </c>
      <c r="R51" s="2" t="str">
        <f>MID(HEX2BIN($M51,8),COLUMNS($M51:Q51),1)</f>
        <v>1</v>
      </c>
      <c r="S51" s="2" t="str">
        <f>MID(HEX2BIN($M51,8),COLUMNS($M51:R51),1)</f>
        <v>1</v>
      </c>
      <c r="T51" s="2" t="str">
        <f>MID(HEX2BIN($M51,8),COLUMNS($M51:S51),1)</f>
        <v>0</v>
      </c>
      <c r="U51" s="5" t="str">
        <f>MID(HEX2BIN($M51,8),COLUMNS($M51:T51),1)</f>
        <v>1</v>
      </c>
    </row>
    <row r="52" spans="10:21" x14ac:dyDescent="0.25">
      <c r="J52" s="64"/>
      <c r="K52" s="32"/>
      <c r="M52" s="3" t="str">
        <f t="shared" si="1"/>
        <v>2E</v>
      </c>
      <c r="N52" s="2" t="str">
        <f>MID(HEX2BIN($M52,8),COLUMNS($M52:M52),1)</f>
        <v>0</v>
      </c>
      <c r="O52" s="2" t="str">
        <f>MID(HEX2BIN($M52,8),COLUMNS($M52:N52),1)</f>
        <v>0</v>
      </c>
      <c r="P52" s="2" t="str">
        <f>MID(HEX2BIN($M52,8),COLUMNS($M52:O52),1)</f>
        <v>1</v>
      </c>
      <c r="Q52" s="2" t="str">
        <f>MID(HEX2BIN($M52,8),COLUMNS($M52:P52),1)</f>
        <v>0</v>
      </c>
      <c r="R52" s="2" t="str">
        <f>MID(HEX2BIN($M52,8),COLUMNS($M52:Q52),1)</f>
        <v>1</v>
      </c>
      <c r="S52" s="2" t="str">
        <f>MID(HEX2BIN($M52,8),COLUMNS($M52:R52),1)</f>
        <v>1</v>
      </c>
      <c r="T52" s="2" t="str">
        <f>MID(HEX2BIN($M52,8),COLUMNS($M52:S52),1)</f>
        <v>1</v>
      </c>
      <c r="U52" s="5" t="str">
        <f>MID(HEX2BIN($M52,8),COLUMNS($M52:T52),1)</f>
        <v>0</v>
      </c>
    </row>
    <row r="53" spans="10:21" x14ac:dyDescent="0.25">
      <c r="J53" s="64"/>
      <c r="K53" s="32"/>
      <c r="M53" s="3" t="str">
        <f t="shared" si="1"/>
        <v>2F</v>
      </c>
      <c r="N53" s="2" t="str">
        <f>MID(HEX2BIN($M53,8),COLUMNS($M53:M53),1)</f>
        <v>0</v>
      </c>
      <c r="O53" s="2" t="str">
        <f>MID(HEX2BIN($M53,8),COLUMNS($M53:N53),1)</f>
        <v>0</v>
      </c>
      <c r="P53" s="2" t="str">
        <f>MID(HEX2BIN($M53,8),COLUMNS($M53:O53),1)</f>
        <v>1</v>
      </c>
      <c r="Q53" s="2" t="str">
        <f>MID(HEX2BIN($M53,8),COLUMNS($M53:P53),1)</f>
        <v>0</v>
      </c>
      <c r="R53" s="2" t="str">
        <f>MID(HEX2BIN($M53,8),COLUMNS($M53:Q53),1)</f>
        <v>1</v>
      </c>
      <c r="S53" s="2" t="str">
        <f>MID(HEX2BIN($M53,8),COLUMNS($M53:R53),1)</f>
        <v>1</v>
      </c>
      <c r="T53" s="2" t="str">
        <f>MID(HEX2BIN($M53,8),COLUMNS($M53:S53),1)</f>
        <v>1</v>
      </c>
      <c r="U53" s="5" t="str">
        <f>MID(HEX2BIN($M53,8),COLUMNS($M53:T53),1)</f>
        <v>1</v>
      </c>
    </row>
    <row r="54" spans="10:21" x14ac:dyDescent="0.25">
      <c r="J54" s="64"/>
      <c r="K54" s="32"/>
      <c r="M54" s="3" t="str">
        <f t="shared" si="1"/>
        <v>30</v>
      </c>
      <c r="N54" s="2" t="str">
        <f>MID(HEX2BIN($M54,8),COLUMNS($M54:M54),1)</f>
        <v>0</v>
      </c>
      <c r="O54" s="2" t="str">
        <f>MID(HEX2BIN($M54,8),COLUMNS($M54:N54),1)</f>
        <v>0</v>
      </c>
      <c r="P54" s="2" t="str">
        <f>MID(HEX2BIN($M54,8),COLUMNS($M54:O54),1)</f>
        <v>1</v>
      </c>
      <c r="Q54" s="2" t="str">
        <f>MID(HEX2BIN($M54,8),COLUMNS($M54:P54),1)</f>
        <v>1</v>
      </c>
      <c r="R54" s="2" t="str">
        <f>MID(HEX2BIN($M54,8),COLUMNS($M54:Q54),1)</f>
        <v>0</v>
      </c>
      <c r="S54" s="2" t="str">
        <f>MID(HEX2BIN($M54,8),COLUMNS($M54:R54),1)</f>
        <v>0</v>
      </c>
      <c r="T54" s="2" t="str">
        <f>MID(HEX2BIN($M54,8),COLUMNS($M54:S54),1)</f>
        <v>0</v>
      </c>
      <c r="U54" s="5" t="str">
        <f>MID(HEX2BIN($M54,8),COLUMNS($M54:T54),1)</f>
        <v>0</v>
      </c>
    </row>
    <row r="55" spans="10:21" x14ac:dyDescent="0.25">
      <c r="J55" s="64"/>
      <c r="K55" s="32"/>
      <c r="M55" s="3" t="str">
        <f t="shared" si="1"/>
        <v>31</v>
      </c>
      <c r="N55" s="2" t="str">
        <f>MID(HEX2BIN($M55,8),COLUMNS($M55:M55),1)</f>
        <v>0</v>
      </c>
      <c r="O55" s="2" t="str">
        <f>MID(HEX2BIN($M55,8),COLUMNS($M55:N55),1)</f>
        <v>0</v>
      </c>
      <c r="P55" s="2" t="str">
        <f>MID(HEX2BIN($M55,8),COLUMNS($M55:O55),1)</f>
        <v>1</v>
      </c>
      <c r="Q55" s="2" t="str">
        <f>MID(HEX2BIN($M55,8),COLUMNS($M55:P55),1)</f>
        <v>1</v>
      </c>
      <c r="R55" s="2" t="str">
        <f>MID(HEX2BIN($M55,8),COLUMNS($M55:Q55),1)</f>
        <v>0</v>
      </c>
      <c r="S55" s="2" t="str">
        <f>MID(HEX2BIN($M55,8),COLUMNS($M55:R55),1)</f>
        <v>0</v>
      </c>
      <c r="T55" s="2" t="str">
        <f>MID(HEX2BIN($M55,8),COLUMNS($M55:S55),1)</f>
        <v>0</v>
      </c>
      <c r="U55" s="5" t="str">
        <f>MID(HEX2BIN($M55,8),COLUMNS($M55:T55),1)</f>
        <v>1</v>
      </c>
    </row>
    <row r="56" spans="10:21" x14ac:dyDescent="0.25">
      <c r="J56" s="64"/>
      <c r="K56" s="32"/>
      <c r="M56" s="3" t="str">
        <f t="shared" si="1"/>
        <v>32</v>
      </c>
      <c r="N56" s="2" t="str">
        <f>MID(HEX2BIN($M56,8),COLUMNS($M56:M56),1)</f>
        <v>0</v>
      </c>
      <c r="O56" s="2" t="str">
        <f>MID(HEX2BIN($M56,8),COLUMNS($M56:N56),1)</f>
        <v>0</v>
      </c>
      <c r="P56" s="2" t="str">
        <f>MID(HEX2BIN($M56,8),COLUMNS($M56:O56),1)</f>
        <v>1</v>
      </c>
      <c r="Q56" s="2" t="str">
        <f>MID(HEX2BIN($M56,8),COLUMNS($M56:P56),1)</f>
        <v>1</v>
      </c>
      <c r="R56" s="2" t="str">
        <f>MID(HEX2BIN($M56,8),COLUMNS($M56:Q56),1)</f>
        <v>0</v>
      </c>
      <c r="S56" s="2" t="str">
        <f>MID(HEX2BIN($M56,8),COLUMNS($M56:R56),1)</f>
        <v>0</v>
      </c>
      <c r="T56" s="2" t="str">
        <f>MID(HEX2BIN($M56,8),COLUMNS($M56:S56),1)</f>
        <v>1</v>
      </c>
      <c r="U56" s="5" t="str">
        <f>MID(HEX2BIN($M56,8),COLUMNS($M56:T56),1)</f>
        <v>0</v>
      </c>
    </row>
    <row r="57" spans="10:21" x14ac:dyDescent="0.25">
      <c r="J57" s="64"/>
      <c r="K57" s="32"/>
      <c r="M57" s="3" t="str">
        <f t="shared" si="1"/>
        <v>33</v>
      </c>
      <c r="N57" s="2" t="str">
        <f>MID(HEX2BIN($M57,8),COLUMNS($M57:M57),1)</f>
        <v>0</v>
      </c>
      <c r="O57" s="2" t="str">
        <f>MID(HEX2BIN($M57,8),COLUMNS($M57:N57),1)</f>
        <v>0</v>
      </c>
      <c r="P57" s="2" t="str">
        <f>MID(HEX2BIN($M57,8),COLUMNS($M57:O57),1)</f>
        <v>1</v>
      </c>
      <c r="Q57" s="2" t="str">
        <f>MID(HEX2BIN($M57,8),COLUMNS($M57:P57),1)</f>
        <v>1</v>
      </c>
      <c r="R57" s="2" t="str">
        <f>MID(HEX2BIN($M57,8),COLUMNS($M57:Q57),1)</f>
        <v>0</v>
      </c>
      <c r="S57" s="2" t="str">
        <f>MID(HEX2BIN($M57,8),COLUMNS($M57:R57),1)</f>
        <v>0</v>
      </c>
      <c r="T57" s="2" t="str">
        <f>MID(HEX2BIN($M57,8),COLUMNS($M57:S57),1)</f>
        <v>1</v>
      </c>
      <c r="U57" s="5" t="str">
        <f>MID(HEX2BIN($M57,8),COLUMNS($M57:T57),1)</f>
        <v>1</v>
      </c>
    </row>
    <row r="58" spans="10:21" x14ac:dyDescent="0.25">
      <c r="J58" s="64"/>
      <c r="K58" s="32"/>
      <c r="M58" s="3" t="str">
        <f t="shared" si="1"/>
        <v>34</v>
      </c>
      <c r="N58" s="2" t="str">
        <f>MID(HEX2BIN($M58,8),COLUMNS($M58:M58),1)</f>
        <v>0</v>
      </c>
      <c r="O58" s="2" t="str">
        <f>MID(HEX2BIN($M58,8),COLUMNS($M58:N58),1)</f>
        <v>0</v>
      </c>
      <c r="P58" s="2" t="str">
        <f>MID(HEX2BIN($M58,8),COLUMNS($M58:O58),1)</f>
        <v>1</v>
      </c>
      <c r="Q58" s="2" t="str">
        <f>MID(HEX2BIN($M58,8),COLUMNS($M58:P58),1)</f>
        <v>1</v>
      </c>
      <c r="R58" s="2" t="str">
        <f>MID(HEX2BIN($M58,8),COLUMNS($M58:Q58),1)</f>
        <v>0</v>
      </c>
      <c r="S58" s="2" t="str">
        <f>MID(HEX2BIN($M58,8),COLUMNS($M58:R58),1)</f>
        <v>1</v>
      </c>
      <c r="T58" s="2" t="str">
        <f>MID(HEX2BIN($M58,8),COLUMNS($M58:S58),1)</f>
        <v>0</v>
      </c>
      <c r="U58" s="5" t="str">
        <f>MID(HEX2BIN($M58,8),COLUMNS($M58:T58),1)</f>
        <v>0</v>
      </c>
    </row>
    <row r="59" spans="10:21" x14ac:dyDescent="0.25">
      <c r="J59" s="64"/>
      <c r="K59" s="32"/>
      <c r="M59" s="3" t="str">
        <f t="shared" si="1"/>
        <v>35</v>
      </c>
      <c r="N59" s="2" t="str">
        <f>MID(HEX2BIN($M59,8),COLUMNS($M59:M59),1)</f>
        <v>0</v>
      </c>
      <c r="O59" s="2" t="str">
        <f>MID(HEX2BIN($M59,8),COLUMNS($M59:N59),1)</f>
        <v>0</v>
      </c>
      <c r="P59" s="2" t="str">
        <f>MID(HEX2BIN($M59,8),COLUMNS($M59:O59),1)</f>
        <v>1</v>
      </c>
      <c r="Q59" s="2" t="str">
        <f>MID(HEX2BIN($M59,8),COLUMNS($M59:P59),1)</f>
        <v>1</v>
      </c>
      <c r="R59" s="2" t="str">
        <f>MID(HEX2BIN($M59,8),COLUMNS($M59:Q59),1)</f>
        <v>0</v>
      </c>
      <c r="S59" s="2" t="str">
        <f>MID(HEX2BIN($M59,8),COLUMNS($M59:R59),1)</f>
        <v>1</v>
      </c>
      <c r="T59" s="2" t="str">
        <f>MID(HEX2BIN($M59,8),COLUMNS($M59:S59),1)</f>
        <v>0</v>
      </c>
      <c r="U59" s="5" t="str">
        <f>MID(HEX2BIN($M59,8),COLUMNS($M59:T59),1)</f>
        <v>1</v>
      </c>
    </row>
    <row r="60" spans="10:21" x14ac:dyDescent="0.25">
      <c r="J60" s="64"/>
      <c r="K60" s="32"/>
      <c r="M60" s="3" t="str">
        <f t="shared" si="1"/>
        <v>36</v>
      </c>
      <c r="N60" s="2" t="str">
        <f>MID(HEX2BIN($M60,8),COLUMNS($M60:M60),1)</f>
        <v>0</v>
      </c>
      <c r="O60" s="2" t="str">
        <f>MID(HEX2BIN($M60,8),COLUMNS($M60:N60),1)</f>
        <v>0</v>
      </c>
      <c r="P60" s="2" t="str">
        <f>MID(HEX2BIN($M60,8),COLUMNS($M60:O60),1)</f>
        <v>1</v>
      </c>
      <c r="Q60" s="2" t="str">
        <f>MID(HEX2BIN($M60,8),COLUMNS($M60:P60),1)</f>
        <v>1</v>
      </c>
      <c r="R60" s="2" t="str">
        <f>MID(HEX2BIN($M60,8),COLUMNS($M60:Q60),1)</f>
        <v>0</v>
      </c>
      <c r="S60" s="2" t="str">
        <f>MID(HEX2BIN($M60,8),COLUMNS($M60:R60),1)</f>
        <v>1</v>
      </c>
      <c r="T60" s="2" t="str">
        <f>MID(HEX2BIN($M60,8),COLUMNS($M60:S60),1)</f>
        <v>1</v>
      </c>
      <c r="U60" s="5" t="str">
        <f>MID(HEX2BIN($M60,8),COLUMNS($M60:T60),1)</f>
        <v>0</v>
      </c>
    </row>
    <row r="61" spans="10:21" x14ac:dyDescent="0.25">
      <c r="J61" s="64"/>
      <c r="K61" s="32"/>
      <c r="M61" s="3" t="str">
        <f t="shared" si="1"/>
        <v>37</v>
      </c>
      <c r="N61" s="2" t="str">
        <f>MID(HEX2BIN($M61,8),COLUMNS($M61:M61),1)</f>
        <v>0</v>
      </c>
      <c r="O61" s="2" t="str">
        <f>MID(HEX2BIN($M61,8),COLUMNS($M61:N61),1)</f>
        <v>0</v>
      </c>
      <c r="P61" s="2" t="str">
        <f>MID(HEX2BIN($M61,8),COLUMNS($M61:O61),1)</f>
        <v>1</v>
      </c>
      <c r="Q61" s="2" t="str">
        <f>MID(HEX2BIN($M61,8),COLUMNS($M61:P61),1)</f>
        <v>1</v>
      </c>
      <c r="R61" s="2" t="str">
        <f>MID(HEX2BIN($M61,8),COLUMNS($M61:Q61),1)</f>
        <v>0</v>
      </c>
      <c r="S61" s="2" t="str">
        <f>MID(HEX2BIN($M61,8),COLUMNS($M61:R61),1)</f>
        <v>1</v>
      </c>
      <c r="T61" s="2" t="str">
        <f>MID(HEX2BIN($M61,8),COLUMNS($M61:S61),1)</f>
        <v>1</v>
      </c>
      <c r="U61" s="5" t="str">
        <f>MID(HEX2BIN($M61,8),COLUMNS($M61:T61),1)</f>
        <v>1</v>
      </c>
    </row>
    <row r="62" spans="10:21" x14ac:dyDescent="0.25">
      <c r="J62" s="64"/>
      <c r="K62" s="32"/>
      <c r="M62" s="3" t="str">
        <f t="shared" si="1"/>
        <v>38</v>
      </c>
      <c r="N62" s="2" t="str">
        <f>MID(HEX2BIN($M62,8),COLUMNS($M62:M62),1)</f>
        <v>0</v>
      </c>
      <c r="O62" s="2" t="str">
        <f>MID(HEX2BIN($M62,8),COLUMNS($M62:N62),1)</f>
        <v>0</v>
      </c>
      <c r="P62" s="2" t="str">
        <f>MID(HEX2BIN($M62,8),COLUMNS($M62:O62),1)</f>
        <v>1</v>
      </c>
      <c r="Q62" s="2" t="str">
        <f>MID(HEX2BIN($M62,8),COLUMNS($M62:P62),1)</f>
        <v>1</v>
      </c>
      <c r="R62" s="2" t="str">
        <f>MID(HEX2BIN($M62,8),COLUMNS($M62:Q62),1)</f>
        <v>1</v>
      </c>
      <c r="S62" s="2" t="str">
        <f>MID(HEX2BIN($M62,8),COLUMNS($M62:R62),1)</f>
        <v>0</v>
      </c>
      <c r="T62" s="2" t="str">
        <f>MID(HEX2BIN($M62,8),COLUMNS($M62:S62),1)</f>
        <v>0</v>
      </c>
      <c r="U62" s="5" t="str">
        <f>MID(HEX2BIN($M62,8),COLUMNS($M62:T62),1)</f>
        <v>0</v>
      </c>
    </row>
    <row r="63" spans="10:21" x14ac:dyDescent="0.25">
      <c r="J63" s="64"/>
      <c r="K63" s="32"/>
      <c r="M63" s="3" t="str">
        <f t="shared" si="1"/>
        <v>39</v>
      </c>
      <c r="N63" s="2" t="str">
        <f>MID(HEX2BIN($M63,8),COLUMNS($M63:M63),1)</f>
        <v>0</v>
      </c>
      <c r="O63" s="2" t="str">
        <f>MID(HEX2BIN($M63,8),COLUMNS($M63:N63),1)</f>
        <v>0</v>
      </c>
      <c r="P63" s="2" t="str">
        <f>MID(HEX2BIN($M63,8),COLUMNS($M63:O63),1)</f>
        <v>1</v>
      </c>
      <c r="Q63" s="2" t="str">
        <f>MID(HEX2BIN($M63,8),COLUMNS($M63:P63),1)</f>
        <v>1</v>
      </c>
      <c r="R63" s="2" t="str">
        <f>MID(HEX2BIN($M63,8),COLUMNS($M63:Q63),1)</f>
        <v>1</v>
      </c>
      <c r="S63" s="2" t="str">
        <f>MID(HEX2BIN($M63,8),COLUMNS($M63:R63),1)</f>
        <v>0</v>
      </c>
      <c r="T63" s="2" t="str">
        <f>MID(HEX2BIN($M63,8),COLUMNS($M63:S63),1)</f>
        <v>0</v>
      </c>
      <c r="U63" s="5" t="str">
        <f>MID(HEX2BIN($M63,8),COLUMNS($M63:T63),1)</f>
        <v>1</v>
      </c>
    </row>
    <row r="64" spans="10:21" x14ac:dyDescent="0.25">
      <c r="J64" s="64"/>
      <c r="K64" s="32"/>
      <c r="M64" s="3" t="str">
        <f t="shared" si="1"/>
        <v>3A</v>
      </c>
      <c r="N64" s="2" t="str">
        <f>MID(HEX2BIN($M64,8),COLUMNS($M64:M64),1)</f>
        <v>0</v>
      </c>
      <c r="O64" s="2" t="str">
        <f>MID(HEX2BIN($M64,8),COLUMNS($M64:N64),1)</f>
        <v>0</v>
      </c>
      <c r="P64" s="2" t="str">
        <f>MID(HEX2BIN($M64,8),COLUMNS($M64:O64),1)</f>
        <v>1</v>
      </c>
      <c r="Q64" s="2" t="str">
        <f>MID(HEX2BIN($M64,8),COLUMNS($M64:P64),1)</f>
        <v>1</v>
      </c>
      <c r="R64" s="2" t="str">
        <f>MID(HEX2BIN($M64,8),COLUMNS($M64:Q64),1)</f>
        <v>1</v>
      </c>
      <c r="S64" s="2" t="str">
        <f>MID(HEX2BIN($M64,8),COLUMNS($M64:R64),1)</f>
        <v>0</v>
      </c>
      <c r="T64" s="2" t="str">
        <f>MID(HEX2BIN($M64,8),COLUMNS($M64:S64),1)</f>
        <v>1</v>
      </c>
      <c r="U64" s="5" t="str">
        <f>MID(HEX2BIN($M64,8),COLUMNS($M64:T64),1)</f>
        <v>0</v>
      </c>
    </row>
    <row r="65" spans="10:21" x14ac:dyDescent="0.25">
      <c r="J65" s="64"/>
      <c r="K65" s="32"/>
      <c r="M65" s="3" t="str">
        <f t="shared" si="1"/>
        <v>3B</v>
      </c>
      <c r="N65" s="2" t="str">
        <f>MID(HEX2BIN($M65,8),COLUMNS($M65:M65),1)</f>
        <v>0</v>
      </c>
      <c r="O65" s="2" t="str">
        <f>MID(HEX2BIN($M65,8),COLUMNS($M65:N65),1)</f>
        <v>0</v>
      </c>
      <c r="P65" s="2" t="str">
        <f>MID(HEX2BIN($M65,8),COLUMNS($M65:O65),1)</f>
        <v>1</v>
      </c>
      <c r="Q65" s="2" t="str">
        <f>MID(HEX2BIN($M65,8),COLUMNS($M65:P65),1)</f>
        <v>1</v>
      </c>
      <c r="R65" s="2" t="str">
        <f>MID(HEX2BIN($M65,8),COLUMNS($M65:Q65),1)</f>
        <v>1</v>
      </c>
      <c r="S65" s="2" t="str">
        <f>MID(HEX2BIN($M65,8),COLUMNS($M65:R65),1)</f>
        <v>0</v>
      </c>
      <c r="T65" s="2" t="str">
        <f>MID(HEX2BIN($M65,8),COLUMNS($M65:S65),1)</f>
        <v>1</v>
      </c>
      <c r="U65" s="5" t="str">
        <f>MID(HEX2BIN($M65,8),COLUMNS($M65:T65),1)</f>
        <v>1</v>
      </c>
    </row>
    <row r="66" spans="10:21" x14ac:dyDescent="0.25">
      <c r="J66" s="64"/>
      <c r="K66" s="32"/>
      <c r="M66" s="3" t="str">
        <f t="shared" si="1"/>
        <v>3C</v>
      </c>
      <c r="N66" s="2" t="str">
        <f>MID(HEX2BIN($M66,8),COLUMNS($M66:M66),1)</f>
        <v>0</v>
      </c>
      <c r="O66" s="2" t="str">
        <f>MID(HEX2BIN($M66,8),COLUMNS($M66:N66),1)</f>
        <v>0</v>
      </c>
      <c r="P66" s="2" t="str">
        <f>MID(HEX2BIN($M66,8),COLUMNS($M66:O66),1)</f>
        <v>1</v>
      </c>
      <c r="Q66" s="2" t="str">
        <f>MID(HEX2BIN($M66,8),COLUMNS($M66:P66),1)</f>
        <v>1</v>
      </c>
      <c r="R66" s="2" t="str">
        <f>MID(HEX2BIN($M66,8),COLUMNS($M66:Q66),1)</f>
        <v>1</v>
      </c>
      <c r="S66" s="2" t="str">
        <f>MID(HEX2BIN($M66,8),COLUMNS($M66:R66),1)</f>
        <v>1</v>
      </c>
      <c r="T66" s="2" t="str">
        <f>MID(HEX2BIN($M66,8),COLUMNS($M66:S66),1)</f>
        <v>0</v>
      </c>
      <c r="U66" s="5" t="str">
        <f>MID(HEX2BIN($M66,8),COLUMNS($M66:T66),1)</f>
        <v>0</v>
      </c>
    </row>
    <row r="67" spans="10:21" x14ac:dyDescent="0.25">
      <c r="J67" s="64"/>
      <c r="K67" s="32"/>
      <c r="M67" s="3" t="str">
        <f t="shared" si="1"/>
        <v>3D</v>
      </c>
      <c r="N67" s="2" t="str">
        <f>MID(HEX2BIN($M67,8),COLUMNS($M67:M67),1)</f>
        <v>0</v>
      </c>
      <c r="O67" s="2" t="str">
        <f>MID(HEX2BIN($M67,8),COLUMNS($M67:N67),1)</f>
        <v>0</v>
      </c>
      <c r="P67" s="2" t="str">
        <f>MID(HEX2BIN($M67,8),COLUMNS($M67:O67),1)</f>
        <v>1</v>
      </c>
      <c r="Q67" s="2" t="str">
        <f>MID(HEX2BIN($M67,8),COLUMNS($M67:P67),1)</f>
        <v>1</v>
      </c>
      <c r="R67" s="2" t="str">
        <f>MID(HEX2BIN($M67,8),COLUMNS($M67:Q67),1)</f>
        <v>1</v>
      </c>
      <c r="S67" s="2" t="str">
        <f>MID(HEX2BIN($M67,8),COLUMNS($M67:R67),1)</f>
        <v>1</v>
      </c>
      <c r="T67" s="2" t="str">
        <f>MID(HEX2BIN($M67,8),COLUMNS($M67:S67),1)</f>
        <v>0</v>
      </c>
      <c r="U67" s="5" t="str">
        <f>MID(HEX2BIN($M67,8),COLUMNS($M67:T67),1)</f>
        <v>1</v>
      </c>
    </row>
    <row r="68" spans="10:21" x14ac:dyDescent="0.25">
      <c r="J68" s="64"/>
      <c r="K68" s="32"/>
      <c r="M68" s="3" t="str">
        <f t="shared" si="1"/>
        <v>3E</v>
      </c>
      <c r="N68" s="2" t="str">
        <f>MID(HEX2BIN($M68,8),COLUMNS($M68:M68),1)</f>
        <v>0</v>
      </c>
      <c r="O68" s="2" t="str">
        <f>MID(HEX2BIN($M68,8),COLUMNS($M68:N68),1)</f>
        <v>0</v>
      </c>
      <c r="P68" s="2" t="str">
        <f>MID(HEX2BIN($M68,8),COLUMNS($M68:O68),1)</f>
        <v>1</v>
      </c>
      <c r="Q68" s="2" t="str">
        <f>MID(HEX2BIN($M68,8),COLUMNS($M68:P68),1)</f>
        <v>1</v>
      </c>
      <c r="R68" s="2" t="str">
        <f>MID(HEX2BIN($M68,8),COLUMNS($M68:Q68),1)</f>
        <v>1</v>
      </c>
      <c r="S68" s="2" t="str">
        <f>MID(HEX2BIN($M68,8),COLUMNS($M68:R68),1)</f>
        <v>1</v>
      </c>
      <c r="T68" s="2" t="str">
        <f>MID(HEX2BIN($M68,8),COLUMNS($M68:S68),1)</f>
        <v>1</v>
      </c>
      <c r="U68" s="5" t="str">
        <f>MID(HEX2BIN($M68,8),COLUMNS($M68:T68),1)</f>
        <v>0</v>
      </c>
    </row>
    <row r="69" spans="10:21" x14ac:dyDescent="0.25">
      <c r="J69" s="64"/>
      <c r="K69" s="32"/>
      <c r="M69" s="3" t="str">
        <f t="shared" si="1"/>
        <v>3F</v>
      </c>
      <c r="N69" s="2" t="str">
        <f>MID(HEX2BIN($M69,8),COLUMNS($M69:M69),1)</f>
        <v>0</v>
      </c>
      <c r="O69" s="2" t="str">
        <f>MID(HEX2BIN($M69,8),COLUMNS($M69:N69),1)</f>
        <v>0</v>
      </c>
      <c r="P69" s="2" t="str">
        <f>MID(HEX2BIN($M69,8),COLUMNS($M69:O69),1)</f>
        <v>1</v>
      </c>
      <c r="Q69" s="2" t="str">
        <f>MID(HEX2BIN($M69,8),COLUMNS($M69:P69),1)</f>
        <v>1</v>
      </c>
      <c r="R69" s="2" t="str">
        <f>MID(HEX2BIN($M69,8),COLUMNS($M69:Q69),1)</f>
        <v>1</v>
      </c>
      <c r="S69" s="2" t="str">
        <f>MID(HEX2BIN($M69,8),COLUMNS($M69:R69),1)</f>
        <v>1</v>
      </c>
      <c r="T69" s="2" t="str">
        <f>MID(HEX2BIN($M69,8),COLUMNS($M69:S69),1)</f>
        <v>1</v>
      </c>
      <c r="U69" s="5" t="str">
        <f>MID(HEX2BIN($M69,8),COLUMNS($M69:T69),1)</f>
        <v>1</v>
      </c>
    </row>
    <row r="70" spans="10:21" x14ac:dyDescent="0.25">
      <c r="J70" s="64"/>
      <c r="K70" s="32"/>
      <c r="M70" s="3" t="str">
        <f t="shared" ref="M70:M133" si="4">DEC2HEX(ROW()-$B$1,2)</f>
        <v>40</v>
      </c>
      <c r="N70" s="2" t="str">
        <f>MID(HEX2BIN($M70,8),COLUMNS($M70:M70),1)</f>
        <v>0</v>
      </c>
      <c r="O70" s="2" t="str">
        <f>MID(HEX2BIN($M70,8),COLUMNS($M70:N70),1)</f>
        <v>1</v>
      </c>
      <c r="P70" s="2" t="str">
        <f>MID(HEX2BIN($M70,8),COLUMNS($M70:O70),1)</f>
        <v>0</v>
      </c>
      <c r="Q70" s="2" t="str">
        <f>MID(HEX2BIN($M70,8),COLUMNS($M70:P70),1)</f>
        <v>0</v>
      </c>
      <c r="R70" s="2" t="str">
        <f>MID(HEX2BIN($M70,8),COLUMNS($M70:Q70),1)</f>
        <v>0</v>
      </c>
      <c r="S70" s="2" t="str">
        <f>MID(HEX2BIN($M70,8),COLUMNS($M70:R70),1)</f>
        <v>0</v>
      </c>
      <c r="T70" s="2" t="str">
        <f>MID(HEX2BIN($M70,8),COLUMNS($M70:S70),1)</f>
        <v>0</v>
      </c>
      <c r="U70" s="5" t="str">
        <f>MID(HEX2BIN($M70,8),COLUMNS($M70:T70),1)</f>
        <v>0</v>
      </c>
    </row>
    <row r="71" spans="10:21" x14ac:dyDescent="0.25">
      <c r="J71" s="64"/>
      <c r="K71" s="32"/>
      <c r="M71" s="3" t="str">
        <f t="shared" si="4"/>
        <v>41</v>
      </c>
      <c r="N71" s="2" t="str">
        <f>MID(HEX2BIN($M71,8),COLUMNS($M71:M71),1)</f>
        <v>0</v>
      </c>
      <c r="O71" s="2" t="str">
        <f>MID(HEX2BIN($M71,8),COLUMNS($M71:N71),1)</f>
        <v>1</v>
      </c>
      <c r="P71" s="2" t="str">
        <f>MID(HEX2BIN($M71,8),COLUMNS($M71:O71),1)</f>
        <v>0</v>
      </c>
      <c r="Q71" s="2" t="str">
        <f>MID(HEX2BIN($M71,8),COLUMNS($M71:P71),1)</f>
        <v>0</v>
      </c>
      <c r="R71" s="2" t="str">
        <f>MID(HEX2BIN($M71,8),COLUMNS($M71:Q71),1)</f>
        <v>0</v>
      </c>
      <c r="S71" s="2" t="str">
        <f>MID(HEX2BIN($M71,8),COLUMNS($M71:R71),1)</f>
        <v>0</v>
      </c>
      <c r="T71" s="2" t="str">
        <f>MID(HEX2BIN($M71,8),COLUMNS($M71:S71),1)</f>
        <v>0</v>
      </c>
      <c r="U71" s="5" t="str">
        <f>MID(HEX2BIN($M71,8),COLUMNS($M71:T71),1)</f>
        <v>1</v>
      </c>
    </row>
    <row r="72" spans="10:21" x14ac:dyDescent="0.25">
      <c r="J72" s="64"/>
      <c r="K72" s="32"/>
      <c r="M72" s="3" t="str">
        <f t="shared" si="4"/>
        <v>42</v>
      </c>
      <c r="N72" s="2" t="str">
        <f>MID(HEX2BIN($M72,8),COLUMNS($M72:M72),1)</f>
        <v>0</v>
      </c>
      <c r="O72" s="2" t="str">
        <f>MID(HEX2BIN($M72,8),COLUMNS($M72:N72),1)</f>
        <v>1</v>
      </c>
      <c r="P72" s="2" t="str">
        <f>MID(HEX2BIN($M72,8),COLUMNS($M72:O72),1)</f>
        <v>0</v>
      </c>
      <c r="Q72" s="2" t="str">
        <f>MID(HEX2BIN($M72,8),COLUMNS($M72:P72),1)</f>
        <v>0</v>
      </c>
      <c r="R72" s="2" t="str">
        <f>MID(HEX2BIN($M72,8),COLUMNS($M72:Q72),1)</f>
        <v>0</v>
      </c>
      <c r="S72" s="2" t="str">
        <f>MID(HEX2BIN($M72,8),COLUMNS($M72:R72),1)</f>
        <v>0</v>
      </c>
      <c r="T72" s="2" t="str">
        <f>MID(HEX2BIN($M72,8),COLUMNS($M72:S72),1)</f>
        <v>1</v>
      </c>
      <c r="U72" s="5" t="str">
        <f>MID(HEX2BIN($M72,8),COLUMNS($M72:T72),1)</f>
        <v>0</v>
      </c>
    </row>
    <row r="73" spans="10:21" x14ac:dyDescent="0.25">
      <c r="J73" s="64"/>
      <c r="K73" s="32"/>
      <c r="M73" s="3" t="str">
        <f t="shared" si="4"/>
        <v>43</v>
      </c>
      <c r="N73" s="2" t="str">
        <f>MID(HEX2BIN($M73,8),COLUMNS($M73:M73),1)</f>
        <v>0</v>
      </c>
      <c r="O73" s="2" t="str">
        <f>MID(HEX2BIN($M73,8),COLUMNS($M73:N73),1)</f>
        <v>1</v>
      </c>
      <c r="P73" s="2" t="str">
        <f>MID(HEX2BIN($M73,8),COLUMNS($M73:O73),1)</f>
        <v>0</v>
      </c>
      <c r="Q73" s="2" t="str">
        <f>MID(HEX2BIN($M73,8),COLUMNS($M73:P73),1)</f>
        <v>0</v>
      </c>
      <c r="R73" s="2" t="str">
        <f>MID(HEX2BIN($M73,8),COLUMNS($M73:Q73),1)</f>
        <v>0</v>
      </c>
      <c r="S73" s="2" t="str">
        <f>MID(HEX2BIN($M73,8),COLUMNS($M73:R73),1)</f>
        <v>0</v>
      </c>
      <c r="T73" s="2" t="str">
        <f>MID(HEX2BIN($M73,8),COLUMNS($M73:S73),1)</f>
        <v>1</v>
      </c>
      <c r="U73" s="5" t="str">
        <f>MID(HEX2BIN($M73,8),COLUMNS($M73:T73),1)</f>
        <v>1</v>
      </c>
    </row>
    <row r="74" spans="10:21" x14ac:dyDescent="0.25">
      <c r="J74" s="64"/>
      <c r="K74" s="32"/>
      <c r="M74" s="3" t="str">
        <f t="shared" si="4"/>
        <v>44</v>
      </c>
      <c r="N74" s="2" t="str">
        <f>MID(HEX2BIN($M74,8),COLUMNS($M74:M74),1)</f>
        <v>0</v>
      </c>
      <c r="O74" s="2" t="str">
        <f>MID(HEX2BIN($M74,8),COLUMNS($M74:N74),1)</f>
        <v>1</v>
      </c>
      <c r="P74" s="2" t="str">
        <f>MID(HEX2BIN($M74,8),COLUMNS($M74:O74),1)</f>
        <v>0</v>
      </c>
      <c r="Q74" s="2" t="str">
        <f>MID(HEX2BIN($M74,8),COLUMNS($M74:P74),1)</f>
        <v>0</v>
      </c>
      <c r="R74" s="2" t="str">
        <f>MID(HEX2BIN($M74,8),COLUMNS($M74:Q74),1)</f>
        <v>0</v>
      </c>
      <c r="S74" s="2" t="str">
        <f>MID(HEX2BIN($M74,8),COLUMNS($M74:R74),1)</f>
        <v>1</v>
      </c>
      <c r="T74" s="2" t="str">
        <f>MID(HEX2BIN($M74,8),COLUMNS($M74:S74),1)</f>
        <v>0</v>
      </c>
      <c r="U74" s="5" t="str">
        <f>MID(HEX2BIN($M74,8),COLUMNS($M74:T74),1)</f>
        <v>0</v>
      </c>
    </row>
    <row r="75" spans="10:21" x14ac:dyDescent="0.25">
      <c r="J75" s="64"/>
      <c r="K75" s="32"/>
      <c r="M75" s="3" t="str">
        <f t="shared" si="4"/>
        <v>45</v>
      </c>
      <c r="N75" s="2" t="str">
        <f>MID(HEX2BIN($M75,8),COLUMNS($M75:M75),1)</f>
        <v>0</v>
      </c>
      <c r="O75" s="2" t="str">
        <f>MID(HEX2BIN($M75,8),COLUMNS($M75:N75),1)</f>
        <v>1</v>
      </c>
      <c r="P75" s="2" t="str">
        <f>MID(HEX2BIN($M75,8),COLUMNS($M75:O75),1)</f>
        <v>0</v>
      </c>
      <c r="Q75" s="2" t="str">
        <f>MID(HEX2BIN($M75,8),COLUMNS($M75:P75),1)</f>
        <v>0</v>
      </c>
      <c r="R75" s="2" t="str">
        <f>MID(HEX2BIN($M75,8),COLUMNS($M75:Q75),1)</f>
        <v>0</v>
      </c>
      <c r="S75" s="2" t="str">
        <f>MID(HEX2BIN($M75,8),COLUMNS($M75:R75),1)</f>
        <v>1</v>
      </c>
      <c r="T75" s="2" t="str">
        <f>MID(HEX2BIN($M75,8),COLUMNS($M75:S75),1)</f>
        <v>0</v>
      </c>
      <c r="U75" s="5" t="str">
        <f>MID(HEX2BIN($M75,8),COLUMNS($M75:T75),1)</f>
        <v>1</v>
      </c>
    </row>
    <row r="76" spans="10:21" x14ac:dyDescent="0.25">
      <c r="J76" s="64"/>
      <c r="K76" s="32"/>
      <c r="M76" s="3" t="str">
        <f t="shared" si="4"/>
        <v>46</v>
      </c>
      <c r="N76" s="2" t="str">
        <f>MID(HEX2BIN($M76,8),COLUMNS($M76:M76),1)</f>
        <v>0</v>
      </c>
      <c r="O76" s="2" t="str">
        <f>MID(HEX2BIN($M76,8),COLUMNS($M76:N76),1)</f>
        <v>1</v>
      </c>
      <c r="P76" s="2" t="str">
        <f>MID(HEX2BIN($M76,8),COLUMNS($M76:O76),1)</f>
        <v>0</v>
      </c>
      <c r="Q76" s="2" t="str">
        <f>MID(HEX2BIN($M76,8),COLUMNS($M76:P76),1)</f>
        <v>0</v>
      </c>
      <c r="R76" s="2" t="str">
        <f>MID(HEX2BIN($M76,8),COLUMNS($M76:Q76),1)</f>
        <v>0</v>
      </c>
      <c r="S76" s="2" t="str">
        <f>MID(HEX2BIN($M76,8),COLUMNS($M76:R76),1)</f>
        <v>1</v>
      </c>
      <c r="T76" s="2" t="str">
        <f>MID(HEX2BIN($M76,8),COLUMNS($M76:S76),1)</f>
        <v>1</v>
      </c>
      <c r="U76" s="5" t="str">
        <f>MID(HEX2BIN($M76,8),COLUMNS($M76:T76),1)</f>
        <v>0</v>
      </c>
    </row>
    <row r="77" spans="10:21" x14ac:dyDescent="0.25">
      <c r="J77" s="64"/>
      <c r="K77" s="32"/>
      <c r="M77" s="3" t="str">
        <f t="shared" si="4"/>
        <v>47</v>
      </c>
      <c r="N77" s="2" t="str">
        <f>MID(HEX2BIN($M77,8),COLUMNS($M77:M77),1)</f>
        <v>0</v>
      </c>
      <c r="O77" s="2" t="str">
        <f>MID(HEX2BIN($M77,8),COLUMNS($M77:N77),1)</f>
        <v>1</v>
      </c>
      <c r="P77" s="2" t="str">
        <f>MID(HEX2BIN($M77,8),COLUMNS($M77:O77),1)</f>
        <v>0</v>
      </c>
      <c r="Q77" s="2" t="str">
        <f>MID(HEX2BIN($M77,8),COLUMNS($M77:P77),1)</f>
        <v>0</v>
      </c>
      <c r="R77" s="2" t="str">
        <f>MID(HEX2BIN($M77,8),COLUMNS($M77:Q77),1)</f>
        <v>0</v>
      </c>
      <c r="S77" s="2" t="str">
        <f>MID(HEX2BIN($M77,8),COLUMNS($M77:R77),1)</f>
        <v>1</v>
      </c>
      <c r="T77" s="2" t="str">
        <f>MID(HEX2BIN($M77,8),COLUMNS($M77:S77),1)</f>
        <v>1</v>
      </c>
      <c r="U77" s="5" t="str">
        <f>MID(HEX2BIN($M77,8),COLUMNS($M77:T77),1)</f>
        <v>1</v>
      </c>
    </row>
    <row r="78" spans="10:21" x14ac:dyDescent="0.25">
      <c r="J78" s="64"/>
      <c r="K78" s="32"/>
      <c r="M78" s="3" t="str">
        <f t="shared" si="4"/>
        <v>48</v>
      </c>
      <c r="N78" s="2" t="str">
        <f>MID(HEX2BIN($M78,8),COLUMNS($M78:M78),1)</f>
        <v>0</v>
      </c>
      <c r="O78" s="2" t="str">
        <f>MID(HEX2BIN($M78,8),COLUMNS($M78:N78),1)</f>
        <v>1</v>
      </c>
      <c r="P78" s="2" t="str">
        <f>MID(HEX2BIN($M78,8),COLUMNS($M78:O78),1)</f>
        <v>0</v>
      </c>
      <c r="Q78" s="2" t="str">
        <f>MID(HEX2BIN($M78,8),COLUMNS($M78:P78),1)</f>
        <v>0</v>
      </c>
      <c r="R78" s="2" t="str">
        <f>MID(HEX2BIN($M78,8),COLUMNS($M78:Q78),1)</f>
        <v>1</v>
      </c>
      <c r="S78" s="2" t="str">
        <f>MID(HEX2BIN($M78,8),COLUMNS($M78:R78),1)</f>
        <v>0</v>
      </c>
      <c r="T78" s="2" t="str">
        <f>MID(HEX2BIN($M78,8),COLUMNS($M78:S78),1)</f>
        <v>0</v>
      </c>
      <c r="U78" s="5" t="str">
        <f>MID(HEX2BIN($M78,8),COLUMNS($M78:T78),1)</f>
        <v>0</v>
      </c>
    </row>
    <row r="79" spans="10:21" x14ac:dyDescent="0.25">
      <c r="J79" s="64"/>
      <c r="K79" s="32"/>
      <c r="M79" s="3" t="str">
        <f t="shared" si="4"/>
        <v>49</v>
      </c>
      <c r="N79" s="2" t="str">
        <f>MID(HEX2BIN($M79,8),COLUMNS($M79:M79),1)</f>
        <v>0</v>
      </c>
      <c r="O79" s="2" t="str">
        <f>MID(HEX2BIN($M79,8),COLUMNS($M79:N79),1)</f>
        <v>1</v>
      </c>
      <c r="P79" s="2" t="str">
        <f>MID(HEX2BIN($M79,8),COLUMNS($M79:O79),1)</f>
        <v>0</v>
      </c>
      <c r="Q79" s="2" t="str">
        <f>MID(HEX2BIN($M79,8),COLUMNS($M79:P79),1)</f>
        <v>0</v>
      </c>
      <c r="R79" s="2" t="str">
        <f>MID(HEX2BIN($M79,8),COLUMNS($M79:Q79),1)</f>
        <v>1</v>
      </c>
      <c r="S79" s="2" t="str">
        <f>MID(HEX2BIN($M79,8),COLUMNS($M79:R79),1)</f>
        <v>0</v>
      </c>
      <c r="T79" s="2" t="str">
        <f>MID(HEX2BIN($M79,8),COLUMNS($M79:S79),1)</f>
        <v>0</v>
      </c>
      <c r="U79" s="5" t="str">
        <f>MID(HEX2BIN($M79,8),COLUMNS($M79:T79),1)</f>
        <v>1</v>
      </c>
    </row>
    <row r="80" spans="10:21" x14ac:dyDescent="0.25">
      <c r="J80" s="64"/>
      <c r="K80" s="32"/>
      <c r="M80" s="3" t="str">
        <f t="shared" si="4"/>
        <v>4A</v>
      </c>
      <c r="N80" s="2" t="str">
        <f>MID(HEX2BIN($M80,8),COLUMNS($M80:M80),1)</f>
        <v>0</v>
      </c>
      <c r="O80" s="2" t="str">
        <f>MID(HEX2BIN($M80,8),COLUMNS($M80:N80),1)</f>
        <v>1</v>
      </c>
      <c r="P80" s="2" t="str">
        <f>MID(HEX2BIN($M80,8),COLUMNS($M80:O80),1)</f>
        <v>0</v>
      </c>
      <c r="Q80" s="2" t="str">
        <f>MID(HEX2BIN($M80,8),COLUMNS($M80:P80),1)</f>
        <v>0</v>
      </c>
      <c r="R80" s="2" t="str">
        <f>MID(HEX2BIN($M80,8),COLUMNS($M80:Q80),1)</f>
        <v>1</v>
      </c>
      <c r="S80" s="2" t="str">
        <f>MID(HEX2BIN($M80,8),COLUMNS($M80:R80),1)</f>
        <v>0</v>
      </c>
      <c r="T80" s="2" t="str">
        <f>MID(HEX2BIN($M80,8),COLUMNS($M80:S80),1)</f>
        <v>1</v>
      </c>
      <c r="U80" s="5" t="str">
        <f>MID(HEX2BIN($M80,8),COLUMNS($M80:T80),1)</f>
        <v>0</v>
      </c>
    </row>
    <row r="81" spans="10:21" x14ac:dyDescent="0.25">
      <c r="J81" s="64"/>
      <c r="K81" s="32"/>
      <c r="M81" s="3" t="str">
        <f t="shared" si="4"/>
        <v>4B</v>
      </c>
      <c r="N81" s="2" t="str">
        <f>MID(HEX2BIN($M81,8),COLUMNS($M81:M81),1)</f>
        <v>0</v>
      </c>
      <c r="O81" s="2" t="str">
        <f>MID(HEX2BIN($M81,8),COLUMNS($M81:N81),1)</f>
        <v>1</v>
      </c>
      <c r="P81" s="2" t="str">
        <f>MID(HEX2BIN($M81,8),COLUMNS($M81:O81),1)</f>
        <v>0</v>
      </c>
      <c r="Q81" s="2" t="str">
        <f>MID(HEX2BIN($M81,8),COLUMNS($M81:P81),1)</f>
        <v>0</v>
      </c>
      <c r="R81" s="2" t="str">
        <f>MID(HEX2BIN($M81,8),COLUMNS($M81:Q81),1)</f>
        <v>1</v>
      </c>
      <c r="S81" s="2" t="str">
        <f>MID(HEX2BIN($M81,8),COLUMNS($M81:R81),1)</f>
        <v>0</v>
      </c>
      <c r="T81" s="2" t="str">
        <f>MID(HEX2BIN($M81,8),COLUMNS($M81:S81),1)</f>
        <v>1</v>
      </c>
      <c r="U81" s="5" t="str">
        <f>MID(HEX2BIN($M81,8),COLUMNS($M81:T81),1)</f>
        <v>1</v>
      </c>
    </row>
    <row r="82" spans="10:21" x14ac:dyDescent="0.25">
      <c r="J82" s="64"/>
      <c r="K82" s="32"/>
      <c r="M82" s="3" t="str">
        <f t="shared" si="4"/>
        <v>4C</v>
      </c>
      <c r="N82" s="2" t="str">
        <f>MID(HEX2BIN($M82,8),COLUMNS($M82:M82),1)</f>
        <v>0</v>
      </c>
      <c r="O82" s="2" t="str">
        <f>MID(HEX2BIN($M82,8),COLUMNS($M82:N82),1)</f>
        <v>1</v>
      </c>
      <c r="P82" s="2" t="str">
        <f>MID(HEX2BIN($M82,8),COLUMNS($M82:O82),1)</f>
        <v>0</v>
      </c>
      <c r="Q82" s="2" t="str">
        <f>MID(HEX2BIN($M82,8),COLUMNS($M82:P82),1)</f>
        <v>0</v>
      </c>
      <c r="R82" s="2" t="str">
        <f>MID(HEX2BIN($M82,8),COLUMNS($M82:Q82),1)</f>
        <v>1</v>
      </c>
      <c r="S82" s="2" t="str">
        <f>MID(HEX2BIN($M82,8),COLUMNS($M82:R82),1)</f>
        <v>1</v>
      </c>
      <c r="T82" s="2" t="str">
        <f>MID(HEX2BIN($M82,8),COLUMNS($M82:S82),1)</f>
        <v>0</v>
      </c>
      <c r="U82" s="5" t="str">
        <f>MID(HEX2BIN($M82,8),COLUMNS($M82:T82),1)</f>
        <v>0</v>
      </c>
    </row>
    <row r="83" spans="10:21" x14ac:dyDescent="0.25">
      <c r="J83" s="64"/>
      <c r="K83" s="32"/>
      <c r="M83" s="3" t="str">
        <f t="shared" si="4"/>
        <v>4D</v>
      </c>
      <c r="N83" s="2" t="str">
        <f>MID(HEX2BIN($M83,8),COLUMNS($M83:M83),1)</f>
        <v>0</v>
      </c>
      <c r="O83" s="2" t="str">
        <f>MID(HEX2BIN($M83,8),COLUMNS($M83:N83),1)</f>
        <v>1</v>
      </c>
      <c r="P83" s="2" t="str">
        <f>MID(HEX2BIN($M83,8),COLUMNS($M83:O83),1)</f>
        <v>0</v>
      </c>
      <c r="Q83" s="2" t="str">
        <f>MID(HEX2BIN($M83,8),COLUMNS($M83:P83),1)</f>
        <v>0</v>
      </c>
      <c r="R83" s="2" t="str">
        <f>MID(HEX2BIN($M83,8),COLUMNS($M83:Q83),1)</f>
        <v>1</v>
      </c>
      <c r="S83" s="2" t="str">
        <f>MID(HEX2BIN($M83,8),COLUMNS($M83:R83),1)</f>
        <v>1</v>
      </c>
      <c r="T83" s="2" t="str">
        <f>MID(HEX2BIN($M83,8),COLUMNS($M83:S83),1)</f>
        <v>0</v>
      </c>
      <c r="U83" s="5" t="str">
        <f>MID(HEX2BIN($M83,8),COLUMNS($M83:T83),1)</f>
        <v>1</v>
      </c>
    </row>
    <row r="84" spans="10:21" x14ac:dyDescent="0.25">
      <c r="J84" s="64"/>
      <c r="K84" s="32"/>
      <c r="M84" s="3" t="str">
        <f t="shared" si="4"/>
        <v>4E</v>
      </c>
      <c r="N84" s="2" t="str">
        <f>MID(HEX2BIN($M84,8),COLUMNS($M84:M84),1)</f>
        <v>0</v>
      </c>
      <c r="O84" s="2" t="str">
        <f>MID(HEX2BIN($M84,8),COLUMNS($M84:N84),1)</f>
        <v>1</v>
      </c>
      <c r="P84" s="2" t="str">
        <f>MID(HEX2BIN($M84,8),COLUMNS($M84:O84),1)</f>
        <v>0</v>
      </c>
      <c r="Q84" s="2" t="str">
        <f>MID(HEX2BIN($M84,8),COLUMNS($M84:P84),1)</f>
        <v>0</v>
      </c>
      <c r="R84" s="2" t="str">
        <f>MID(HEX2BIN($M84,8),COLUMNS($M84:Q84),1)</f>
        <v>1</v>
      </c>
      <c r="S84" s="2" t="str">
        <f>MID(HEX2BIN($M84,8),COLUMNS($M84:R84),1)</f>
        <v>1</v>
      </c>
      <c r="T84" s="2" t="str">
        <f>MID(HEX2BIN($M84,8),COLUMNS($M84:S84),1)</f>
        <v>1</v>
      </c>
      <c r="U84" s="5" t="str">
        <f>MID(HEX2BIN($M84,8),COLUMNS($M84:T84),1)</f>
        <v>0</v>
      </c>
    </row>
    <row r="85" spans="10:21" x14ac:dyDescent="0.25">
      <c r="J85" s="64"/>
      <c r="K85" s="32"/>
      <c r="M85" s="3" t="str">
        <f t="shared" si="4"/>
        <v>4F</v>
      </c>
      <c r="N85" s="2" t="str">
        <f>MID(HEX2BIN($M85,8),COLUMNS($M85:M85),1)</f>
        <v>0</v>
      </c>
      <c r="O85" s="2" t="str">
        <f>MID(HEX2BIN($M85,8),COLUMNS($M85:N85),1)</f>
        <v>1</v>
      </c>
      <c r="P85" s="2" t="str">
        <f>MID(HEX2BIN($M85,8),COLUMNS($M85:O85),1)</f>
        <v>0</v>
      </c>
      <c r="Q85" s="2" t="str">
        <f>MID(HEX2BIN($M85,8),COLUMNS($M85:P85),1)</f>
        <v>0</v>
      </c>
      <c r="R85" s="2" t="str">
        <f>MID(HEX2BIN($M85,8),COLUMNS($M85:Q85),1)</f>
        <v>1</v>
      </c>
      <c r="S85" s="2" t="str">
        <f>MID(HEX2BIN($M85,8),COLUMNS($M85:R85),1)</f>
        <v>1</v>
      </c>
      <c r="T85" s="2" t="str">
        <f>MID(HEX2BIN($M85,8),COLUMNS($M85:S85),1)</f>
        <v>1</v>
      </c>
      <c r="U85" s="5" t="str">
        <f>MID(HEX2BIN($M85,8),COLUMNS($M85:T85),1)</f>
        <v>1</v>
      </c>
    </row>
    <row r="86" spans="10:21" x14ac:dyDescent="0.25">
      <c r="J86" s="64"/>
      <c r="K86" s="32"/>
      <c r="M86" s="3" t="str">
        <f t="shared" si="4"/>
        <v>50</v>
      </c>
      <c r="N86" s="2" t="str">
        <f>MID(HEX2BIN($M86,8),COLUMNS($M86:M86),1)</f>
        <v>0</v>
      </c>
      <c r="O86" s="2" t="str">
        <f>MID(HEX2BIN($M86,8),COLUMNS($M86:N86),1)</f>
        <v>1</v>
      </c>
      <c r="P86" s="2" t="str">
        <f>MID(HEX2BIN($M86,8),COLUMNS($M86:O86),1)</f>
        <v>0</v>
      </c>
      <c r="Q86" s="2" t="str">
        <f>MID(HEX2BIN($M86,8),COLUMNS($M86:P86),1)</f>
        <v>1</v>
      </c>
      <c r="R86" s="2" t="str">
        <f>MID(HEX2BIN($M86,8),COLUMNS($M86:Q86),1)</f>
        <v>0</v>
      </c>
      <c r="S86" s="2" t="str">
        <f>MID(HEX2BIN($M86,8),COLUMNS($M86:R86),1)</f>
        <v>0</v>
      </c>
      <c r="T86" s="2" t="str">
        <f>MID(HEX2BIN($M86,8),COLUMNS($M86:S86),1)</f>
        <v>0</v>
      </c>
      <c r="U86" s="5" t="str">
        <f>MID(HEX2BIN($M86,8),COLUMNS($M86:T86),1)</f>
        <v>0</v>
      </c>
    </row>
    <row r="87" spans="10:21" x14ac:dyDescent="0.25">
      <c r="J87" s="64"/>
      <c r="K87" s="32"/>
      <c r="M87" s="3" t="str">
        <f t="shared" si="4"/>
        <v>51</v>
      </c>
      <c r="N87" s="2" t="str">
        <f>MID(HEX2BIN($M87,8),COLUMNS($M87:M87),1)</f>
        <v>0</v>
      </c>
      <c r="O87" s="2" t="str">
        <f>MID(HEX2BIN($M87,8),COLUMNS($M87:N87),1)</f>
        <v>1</v>
      </c>
      <c r="P87" s="2" t="str">
        <f>MID(HEX2BIN($M87,8),COLUMNS($M87:O87),1)</f>
        <v>0</v>
      </c>
      <c r="Q87" s="2" t="str">
        <f>MID(HEX2BIN($M87,8),COLUMNS($M87:P87),1)</f>
        <v>1</v>
      </c>
      <c r="R87" s="2" t="str">
        <f>MID(HEX2BIN($M87,8),COLUMNS($M87:Q87),1)</f>
        <v>0</v>
      </c>
      <c r="S87" s="2" t="str">
        <f>MID(HEX2BIN($M87,8),COLUMNS($M87:R87),1)</f>
        <v>0</v>
      </c>
      <c r="T87" s="2" t="str">
        <f>MID(HEX2BIN($M87,8),COLUMNS($M87:S87),1)</f>
        <v>0</v>
      </c>
      <c r="U87" s="5" t="str">
        <f>MID(HEX2BIN($M87,8),COLUMNS($M87:T87),1)</f>
        <v>1</v>
      </c>
    </row>
    <row r="88" spans="10:21" x14ac:dyDescent="0.25">
      <c r="J88" s="64"/>
      <c r="K88" s="32"/>
      <c r="M88" s="3" t="str">
        <f t="shared" si="4"/>
        <v>52</v>
      </c>
      <c r="N88" s="2" t="str">
        <f>MID(HEX2BIN($M88,8),COLUMNS($M88:M88),1)</f>
        <v>0</v>
      </c>
      <c r="O88" s="2" t="str">
        <f>MID(HEX2BIN($M88,8),COLUMNS($M88:N88),1)</f>
        <v>1</v>
      </c>
      <c r="P88" s="2" t="str">
        <f>MID(HEX2BIN($M88,8),COLUMNS($M88:O88),1)</f>
        <v>0</v>
      </c>
      <c r="Q88" s="2" t="str">
        <f>MID(HEX2BIN($M88,8),COLUMNS($M88:P88),1)</f>
        <v>1</v>
      </c>
      <c r="R88" s="2" t="str">
        <f>MID(HEX2BIN($M88,8),COLUMNS($M88:Q88),1)</f>
        <v>0</v>
      </c>
      <c r="S88" s="2" t="str">
        <f>MID(HEX2BIN($M88,8),COLUMNS($M88:R88),1)</f>
        <v>0</v>
      </c>
      <c r="T88" s="2" t="str">
        <f>MID(HEX2BIN($M88,8),COLUMNS($M88:S88),1)</f>
        <v>1</v>
      </c>
      <c r="U88" s="5" t="str">
        <f>MID(HEX2BIN($M88,8),COLUMNS($M88:T88),1)</f>
        <v>0</v>
      </c>
    </row>
    <row r="89" spans="10:21" x14ac:dyDescent="0.25">
      <c r="J89" s="64"/>
      <c r="K89" s="32"/>
      <c r="M89" s="3" t="str">
        <f t="shared" si="4"/>
        <v>53</v>
      </c>
      <c r="N89" s="2" t="str">
        <f>MID(HEX2BIN($M89,8),COLUMNS($M89:M89),1)</f>
        <v>0</v>
      </c>
      <c r="O89" s="2" t="str">
        <f>MID(HEX2BIN($M89,8),COLUMNS($M89:N89),1)</f>
        <v>1</v>
      </c>
      <c r="P89" s="2" t="str">
        <f>MID(HEX2BIN($M89,8),COLUMNS($M89:O89),1)</f>
        <v>0</v>
      </c>
      <c r="Q89" s="2" t="str">
        <f>MID(HEX2BIN($M89,8),COLUMNS($M89:P89),1)</f>
        <v>1</v>
      </c>
      <c r="R89" s="2" t="str">
        <f>MID(HEX2BIN($M89,8),COLUMNS($M89:Q89),1)</f>
        <v>0</v>
      </c>
      <c r="S89" s="2" t="str">
        <f>MID(HEX2BIN($M89,8),COLUMNS($M89:R89),1)</f>
        <v>0</v>
      </c>
      <c r="T89" s="2" t="str">
        <f>MID(HEX2BIN($M89,8),COLUMNS($M89:S89),1)</f>
        <v>1</v>
      </c>
      <c r="U89" s="5" t="str">
        <f>MID(HEX2BIN($M89,8),COLUMNS($M89:T89),1)</f>
        <v>1</v>
      </c>
    </row>
    <row r="90" spans="10:21" x14ac:dyDescent="0.25">
      <c r="J90" s="64"/>
      <c r="K90" s="32"/>
      <c r="M90" s="3" t="str">
        <f t="shared" si="4"/>
        <v>54</v>
      </c>
      <c r="N90" s="2" t="str">
        <f>MID(HEX2BIN($M90,8),COLUMNS($M90:M90),1)</f>
        <v>0</v>
      </c>
      <c r="O90" s="2" t="str">
        <f>MID(HEX2BIN($M90,8),COLUMNS($M90:N90),1)</f>
        <v>1</v>
      </c>
      <c r="P90" s="2" t="str">
        <f>MID(HEX2BIN($M90,8),COLUMNS($M90:O90),1)</f>
        <v>0</v>
      </c>
      <c r="Q90" s="2" t="str">
        <f>MID(HEX2BIN($M90,8),COLUMNS($M90:P90),1)</f>
        <v>1</v>
      </c>
      <c r="R90" s="2" t="str">
        <f>MID(HEX2BIN($M90,8),COLUMNS($M90:Q90),1)</f>
        <v>0</v>
      </c>
      <c r="S90" s="2" t="str">
        <f>MID(HEX2BIN($M90,8),COLUMNS($M90:R90),1)</f>
        <v>1</v>
      </c>
      <c r="T90" s="2" t="str">
        <f>MID(HEX2BIN($M90,8),COLUMNS($M90:S90),1)</f>
        <v>0</v>
      </c>
      <c r="U90" s="5" t="str">
        <f>MID(HEX2BIN($M90,8),COLUMNS($M90:T90),1)</f>
        <v>0</v>
      </c>
    </row>
    <row r="91" spans="10:21" x14ac:dyDescent="0.25">
      <c r="J91" s="64"/>
      <c r="K91" s="32"/>
      <c r="M91" s="3" t="str">
        <f t="shared" si="4"/>
        <v>55</v>
      </c>
      <c r="N91" s="2" t="str">
        <f>MID(HEX2BIN($M91,8),COLUMNS($M91:M91),1)</f>
        <v>0</v>
      </c>
      <c r="O91" s="2" t="str">
        <f>MID(HEX2BIN($M91,8),COLUMNS($M91:N91),1)</f>
        <v>1</v>
      </c>
      <c r="P91" s="2" t="str">
        <f>MID(HEX2BIN($M91,8),COLUMNS($M91:O91),1)</f>
        <v>0</v>
      </c>
      <c r="Q91" s="2" t="str">
        <f>MID(HEX2BIN($M91,8),COLUMNS($M91:P91),1)</f>
        <v>1</v>
      </c>
      <c r="R91" s="2" t="str">
        <f>MID(HEX2BIN($M91,8),COLUMNS($M91:Q91),1)</f>
        <v>0</v>
      </c>
      <c r="S91" s="2" t="str">
        <f>MID(HEX2BIN($M91,8),COLUMNS($M91:R91),1)</f>
        <v>1</v>
      </c>
      <c r="T91" s="2" t="str">
        <f>MID(HEX2BIN($M91,8),COLUMNS($M91:S91),1)</f>
        <v>0</v>
      </c>
      <c r="U91" s="5" t="str">
        <f>MID(HEX2BIN($M91,8),COLUMNS($M91:T91),1)</f>
        <v>1</v>
      </c>
    </row>
    <row r="92" spans="10:21" x14ac:dyDescent="0.25">
      <c r="J92" s="64"/>
      <c r="K92" s="32"/>
      <c r="M92" s="3" t="str">
        <f t="shared" si="4"/>
        <v>56</v>
      </c>
      <c r="N92" s="2" t="str">
        <f>MID(HEX2BIN($M92,8),COLUMNS($M92:M92),1)</f>
        <v>0</v>
      </c>
      <c r="O92" s="2" t="str">
        <f>MID(HEX2BIN($M92,8),COLUMNS($M92:N92),1)</f>
        <v>1</v>
      </c>
      <c r="P92" s="2" t="str">
        <f>MID(HEX2BIN($M92,8),COLUMNS($M92:O92),1)</f>
        <v>0</v>
      </c>
      <c r="Q92" s="2" t="str">
        <f>MID(HEX2BIN($M92,8),COLUMNS($M92:P92),1)</f>
        <v>1</v>
      </c>
      <c r="R92" s="2" t="str">
        <f>MID(HEX2BIN($M92,8),COLUMNS($M92:Q92),1)</f>
        <v>0</v>
      </c>
      <c r="S92" s="2" t="str">
        <f>MID(HEX2BIN($M92,8),COLUMNS($M92:R92),1)</f>
        <v>1</v>
      </c>
      <c r="T92" s="2" t="str">
        <f>MID(HEX2BIN($M92,8),COLUMNS($M92:S92),1)</f>
        <v>1</v>
      </c>
      <c r="U92" s="5" t="str">
        <f>MID(HEX2BIN($M92,8),COLUMNS($M92:T92),1)</f>
        <v>0</v>
      </c>
    </row>
    <row r="93" spans="10:21" x14ac:dyDescent="0.25">
      <c r="J93" s="64"/>
      <c r="K93" s="32"/>
      <c r="M93" s="3" t="str">
        <f t="shared" si="4"/>
        <v>57</v>
      </c>
      <c r="N93" s="2" t="str">
        <f>MID(HEX2BIN($M93,8),COLUMNS($M93:M93),1)</f>
        <v>0</v>
      </c>
      <c r="O93" s="2" t="str">
        <f>MID(HEX2BIN($M93,8),COLUMNS($M93:N93),1)</f>
        <v>1</v>
      </c>
      <c r="P93" s="2" t="str">
        <f>MID(HEX2BIN($M93,8),COLUMNS($M93:O93),1)</f>
        <v>0</v>
      </c>
      <c r="Q93" s="2" t="str">
        <f>MID(HEX2BIN($M93,8),COLUMNS($M93:P93),1)</f>
        <v>1</v>
      </c>
      <c r="R93" s="2" t="str">
        <f>MID(HEX2BIN($M93,8),COLUMNS($M93:Q93),1)</f>
        <v>0</v>
      </c>
      <c r="S93" s="2" t="str">
        <f>MID(HEX2BIN($M93,8),COLUMNS($M93:R93),1)</f>
        <v>1</v>
      </c>
      <c r="T93" s="2" t="str">
        <f>MID(HEX2BIN($M93,8),COLUMNS($M93:S93),1)</f>
        <v>1</v>
      </c>
      <c r="U93" s="5" t="str">
        <f>MID(HEX2BIN($M93,8),COLUMNS($M93:T93),1)</f>
        <v>1</v>
      </c>
    </row>
    <row r="94" spans="10:21" x14ac:dyDescent="0.25">
      <c r="J94" s="64"/>
      <c r="K94" s="32"/>
      <c r="M94" s="3" t="str">
        <f t="shared" si="4"/>
        <v>58</v>
      </c>
      <c r="N94" s="2" t="str">
        <f>MID(HEX2BIN($M94,8),COLUMNS($M94:M94),1)</f>
        <v>0</v>
      </c>
      <c r="O94" s="2" t="str">
        <f>MID(HEX2BIN($M94,8),COLUMNS($M94:N94),1)</f>
        <v>1</v>
      </c>
      <c r="P94" s="2" t="str">
        <f>MID(HEX2BIN($M94,8),COLUMNS($M94:O94),1)</f>
        <v>0</v>
      </c>
      <c r="Q94" s="2" t="str">
        <f>MID(HEX2BIN($M94,8),COLUMNS($M94:P94),1)</f>
        <v>1</v>
      </c>
      <c r="R94" s="2" t="str">
        <f>MID(HEX2BIN($M94,8),COLUMNS($M94:Q94),1)</f>
        <v>1</v>
      </c>
      <c r="S94" s="2" t="str">
        <f>MID(HEX2BIN($M94,8),COLUMNS($M94:R94),1)</f>
        <v>0</v>
      </c>
      <c r="T94" s="2" t="str">
        <f>MID(HEX2BIN($M94,8),COLUMNS($M94:S94),1)</f>
        <v>0</v>
      </c>
      <c r="U94" s="5" t="str">
        <f>MID(HEX2BIN($M94,8),COLUMNS($M94:T94),1)</f>
        <v>0</v>
      </c>
    </row>
    <row r="95" spans="10:21" x14ac:dyDescent="0.25">
      <c r="J95" s="64"/>
      <c r="K95" s="32"/>
      <c r="M95" s="3" t="str">
        <f t="shared" si="4"/>
        <v>59</v>
      </c>
      <c r="N95" s="2" t="str">
        <f>MID(HEX2BIN($M95,8),COLUMNS($M95:M95),1)</f>
        <v>0</v>
      </c>
      <c r="O95" s="2" t="str">
        <f>MID(HEX2BIN($M95,8),COLUMNS($M95:N95),1)</f>
        <v>1</v>
      </c>
      <c r="P95" s="2" t="str">
        <f>MID(HEX2BIN($M95,8),COLUMNS($M95:O95),1)</f>
        <v>0</v>
      </c>
      <c r="Q95" s="2" t="str">
        <f>MID(HEX2BIN($M95,8),COLUMNS($M95:P95),1)</f>
        <v>1</v>
      </c>
      <c r="R95" s="2" t="str">
        <f>MID(HEX2BIN($M95,8),COLUMNS($M95:Q95),1)</f>
        <v>1</v>
      </c>
      <c r="S95" s="2" t="str">
        <f>MID(HEX2BIN($M95,8),COLUMNS($M95:R95),1)</f>
        <v>0</v>
      </c>
      <c r="T95" s="2" t="str">
        <f>MID(HEX2BIN($M95,8),COLUMNS($M95:S95),1)</f>
        <v>0</v>
      </c>
      <c r="U95" s="5" t="str">
        <f>MID(HEX2BIN($M95,8),COLUMNS($M95:T95),1)</f>
        <v>1</v>
      </c>
    </row>
    <row r="96" spans="10:21" x14ac:dyDescent="0.25">
      <c r="J96" s="64"/>
      <c r="K96" s="32"/>
      <c r="M96" s="3" t="str">
        <f t="shared" si="4"/>
        <v>5A</v>
      </c>
      <c r="N96" s="2" t="str">
        <f>MID(HEX2BIN($M96,8),COLUMNS($M96:M96),1)</f>
        <v>0</v>
      </c>
      <c r="O96" s="2" t="str">
        <f>MID(HEX2BIN($M96,8),COLUMNS($M96:N96),1)</f>
        <v>1</v>
      </c>
      <c r="P96" s="2" t="str">
        <f>MID(HEX2BIN($M96,8),COLUMNS($M96:O96),1)</f>
        <v>0</v>
      </c>
      <c r="Q96" s="2" t="str">
        <f>MID(HEX2BIN($M96,8),COLUMNS($M96:P96),1)</f>
        <v>1</v>
      </c>
      <c r="R96" s="2" t="str">
        <f>MID(HEX2BIN($M96,8),COLUMNS($M96:Q96),1)</f>
        <v>1</v>
      </c>
      <c r="S96" s="2" t="str">
        <f>MID(HEX2BIN($M96,8),COLUMNS($M96:R96),1)</f>
        <v>0</v>
      </c>
      <c r="T96" s="2" t="str">
        <f>MID(HEX2BIN($M96,8),COLUMNS($M96:S96),1)</f>
        <v>1</v>
      </c>
      <c r="U96" s="5" t="str">
        <f>MID(HEX2BIN($M96,8),COLUMNS($M96:T96),1)</f>
        <v>0</v>
      </c>
    </row>
    <row r="97" spans="10:21" x14ac:dyDescent="0.25">
      <c r="J97" s="64"/>
      <c r="K97" s="32"/>
      <c r="M97" s="3" t="str">
        <f t="shared" si="4"/>
        <v>5B</v>
      </c>
      <c r="N97" s="2" t="str">
        <f>MID(HEX2BIN($M97,8),COLUMNS($M97:M97),1)</f>
        <v>0</v>
      </c>
      <c r="O97" s="2" t="str">
        <f>MID(HEX2BIN($M97,8),COLUMNS($M97:N97),1)</f>
        <v>1</v>
      </c>
      <c r="P97" s="2" t="str">
        <f>MID(HEX2BIN($M97,8),COLUMNS($M97:O97),1)</f>
        <v>0</v>
      </c>
      <c r="Q97" s="2" t="str">
        <f>MID(HEX2BIN($M97,8),COLUMNS($M97:P97),1)</f>
        <v>1</v>
      </c>
      <c r="R97" s="2" t="str">
        <f>MID(HEX2BIN($M97,8),COLUMNS($M97:Q97),1)</f>
        <v>1</v>
      </c>
      <c r="S97" s="2" t="str">
        <f>MID(HEX2BIN($M97,8),COLUMNS($M97:R97),1)</f>
        <v>0</v>
      </c>
      <c r="T97" s="2" t="str">
        <f>MID(HEX2BIN($M97,8),COLUMNS($M97:S97),1)</f>
        <v>1</v>
      </c>
      <c r="U97" s="5" t="str">
        <f>MID(HEX2BIN($M97,8),COLUMNS($M97:T97),1)</f>
        <v>1</v>
      </c>
    </row>
    <row r="98" spans="10:21" x14ac:dyDescent="0.25">
      <c r="J98" s="64"/>
      <c r="K98" s="32"/>
      <c r="M98" s="3" t="str">
        <f t="shared" si="4"/>
        <v>5C</v>
      </c>
      <c r="N98" s="2" t="str">
        <f>MID(HEX2BIN($M98,8),COLUMNS($M98:M98),1)</f>
        <v>0</v>
      </c>
      <c r="O98" s="2" t="str">
        <f>MID(HEX2BIN($M98,8),COLUMNS($M98:N98),1)</f>
        <v>1</v>
      </c>
      <c r="P98" s="2" t="str">
        <f>MID(HEX2BIN($M98,8),COLUMNS($M98:O98),1)</f>
        <v>0</v>
      </c>
      <c r="Q98" s="2" t="str">
        <f>MID(HEX2BIN($M98,8),COLUMNS($M98:P98),1)</f>
        <v>1</v>
      </c>
      <c r="R98" s="2" t="str">
        <f>MID(HEX2BIN($M98,8),COLUMNS($M98:Q98),1)</f>
        <v>1</v>
      </c>
      <c r="S98" s="2" t="str">
        <f>MID(HEX2BIN($M98,8),COLUMNS($M98:R98),1)</f>
        <v>1</v>
      </c>
      <c r="T98" s="2" t="str">
        <f>MID(HEX2BIN($M98,8),COLUMNS($M98:S98),1)</f>
        <v>0</v>
      </c>
      <c r="U98" s="5" t="str">
        <f>MID(HEX2BIN($M98,8),COLUMNS($M98:T98),1)</f>
        <v>0</v>
      </c>
    </row>
    <row r="99" spans="10:21" x14ac:dyDescent="0.25">
      <c r="J99" s="64"/>
      <c r="K99" s="32"/>
      <c r="M99" s="3" t="str">
        <f t="shared" si="4"/>
        <v>5D</v>
      </c>
      <c r="N99" s="2" t="str">
        <f>MID(HEX2BIN($M99,8),COLUMNS($M99:M99),1)</f>
        <v>0</v>
      </c>
      <c r="O99" s="2" t="str">
        <f>MID(HEX2BIN($M99,8),COLUMNS($M99:N99),1)</f>
        <v>1</v>
      </c>
      <c r="P99" s="2" t="str">
        <f>MID(HEX2BIN($M99,8),COLUMNS($M99:O99),1)</f>
        <v>0</v>
      </c>
      <c r="Q99" s="2" t="str">
        <f>MID(HEX2BIN($M99,8),COLUMNS($M99:P99),1)</f>
        <v>1</v>
      </c>
      <c r="R99" s="2" t="str">
        <f>MID(HEX2BIN($M99,8),COLUMNS($M99:Q99),1)</f>
        <v>1</v>
      </c>
      <c r="S99" s="2" t="str">
        <f>MID(HEX2BIN($M99,8),COLUMNS($M99:R99),1)</f>
        <v>1</v>
      </c>
      <c r="T99" s="2" t="str">
        <f>MID(HEX2BIN($M99,8),COLUMNS($M99:S99),1)</f>
        <v>0</v>
      </c>
      <c r="U99" s="5" t="str">
        <f>MID(HEX2BIN($M99,8),COLUMNS($M99:T99),1)</f>
        <v>1</v>
      </c>
    </row>
    <row r="100" spans="10:21" x14ac:dyDescent="0.25">
      <c r="J100" s="64"/>
      <c r="K100" s="32"/>
      <c r="M100" s="3" t="str">
        <f t="shared" si="4"/>
        <v>5E</v>
      </c>
      <c r="N100" s="2" t="str">
        <f>MID(HEX2BIN($M100,8),COLUMNS($M100:M100),1)</f>
        <v>0</v>
      </c>
      <c r="O100" s="2" t="str">
        <f>MID(HEX2BIN($M100,8),COLUMNS($M100:N100),1)</f>
        <v>1</v>
      </c>
      <c r="P100" s="2" t="str">
        <f>MID(HEX2BIN($M100,8),COLUMNS($M100:O100),1)</f>
        <v>0</v>
      </c>
      <c r="Q100" s="2" t="str">
        <f>MID(HEX2BIN($M100,8),COLUMNS($M100:P100),1)</f>
        <v>1</v>
      </c>
      <c r="R100" s="2" t="str">
        <f>MID(HEX2BIN($M100,8),COLUMNS($M100:Q100),1)</f>
        <v>1</v>
      </c>
      <c r="S100" s="2" t="str">
        <f>MID(HEX2BIN($M100,8),COLUMNS($M100:R100),1)</f>
        <v>1</v>
      </c>
      <c r="T100" s="2" t="str">
        <f>MID(HEX2BIN($M100,8),COLUMNS($M100:S100),1)</f>
        <v>1</v>
      </c>
      <c r="U100" s="5" t="str">
        <f>MID(HEX2BIN($M100,8),COLUMNS($M100:T100),1)</f>
        <v>0</v>
      </c>
    </row>
    <row r="101" spans="10:21" x14ac:dyDescent="0.25">
      <c r="J101" s="64"/>
      <c r="K101" s="32"/>
      <c r="M101" s="3" t="str">
        <f t="shared" si="4"/>
        <v>5F</v>
      </c>
      <c r="N101" s="2" t="str">
        <f>MID(HEX2BIN($M101,8),COLUMNS($M101:M101),1)</f>
        <v>0</v>
      </c>
      <c r="O101" s="2" t="str">
        <f>MID(HEX2BIN($M101,8),COLUMNS($M101:N101),1)</f>
        <v>1</v>
      </c>
      <c r="P101" s="2" t="str">
        <f>MID(HEX2BIN($M101,8),COLUMNS($M101:O101),1)</f>
        <v>0</v>
      </c>
      <c r="Q101" s="2" t="str">
        <f>MID(HEX2BIN($M101,8),COLUMNS($M101:P101),1)</f>
        <v>1</v>
      </c>
      <c r="R101" s="2" t="str">
        <f>MID(HEX2BIN($M101,8),COLUMNS($M101:Q101),1)</f>
        <v>1</v>
      </c>
      <c r="S101" s="2" t="str">
        <f>MID(HEX2BIN($M101,8),COLUMNS($M101:R101),1)</f>
        <v>1</v>
      </c>
      <c r="T101" s="2" t="str">
        <f>MID(HEX2BIN($M101,8),COLUMNS($M101:S101),1)</f>
        <v>1</v>
      </c>
      <c r="U101" s="5" t="str">
        <f>MID(HEX2BIN($M101,8),COLUMNS($M101:T101),1)</f>
        <v>1</v>
      </c>
    </row>
    <row r="102" spans="10:21" x14ac:dyDescent="0.25">
      <c r="J102" s="64"/>
      <c r="K102" s="32"/>
      <c r="M102" s="3" t="str">
        <f t="shared" si="4"/>
        <v>60</v>
      </c>
      <c r="N102" s="2" t="str">
        <f>MID(HEX2BIN($M102,8),COLUMNS($M102:M102),1)</f>
        <v>0</v>
      </c>
      <c r="O102" s="2" t="str">
        <f>MID(HEX2BIN($M102,8),COLUMNS($M102:N102),1)</f>
        <v>1</v>
      </c>
      <c r="P102" s="2" t="str">
        <f>MID(HEX2BIN($M102,8),COLUMNS($M102:O102),1)</f>
        <v>1</v>
      </c>
      <c r="Q102" s="2" t="str">
        <f>MID(HEX2BIN($M102,8),COLUMNS($M102:P102),1)</f>
        <v>0</v>
      </c>
      <c r="R102" s="2" t="str">
        <f>MID(HEX2BIN($M102,8),COLUMNS($M102:Q102),1)</f>
        <v>0</v>
      </c>
      <c r="S102" s="2" t="str">
        <f>MID(HEX2BIN($M102,8),COLUMNS($M102:R102),1)</f>
        <v>0</v>
      </c>
      <c r="T102" s="2" t="str">
        <f>MID(HEX2BIN($M102,8),COLUMNS($M102:S102),1)</f>
        <v>0</v>
      </c>
      <c r="U102" s="5" t="str">
        <f>MID(HEX2BIN($M102,8),COLUMNS($M102:T102),1)</f>
        <v>0</v>
      </c>
    </row>
    <row r="103" spans="10:21" x14ac:dyDescent="0.25">
      <c r="J103" s="64"/>
      <c r="K103" s="32"/>
      <c r="M103" s="3" t="str">
        <f t="shared" si="4"/>
        <v>61</v>
      </c>
      <c r="N103" s="2" t="str">
        <f>MID(HEX2BIN($M103,8),COLUMNS($M103:M103),1)</f>
        <v>0</v>
      </c>
      <c r="O103" s="2" t="str">
        <f>MID(HEX2BIN($M103,8),COLUMNS($M103:N103),1)</f>
        <v>1</v>
      </c>
      <c r="P103" s="2" t="str">
        <f>MID(HEX2BIN($M103,8),COLUMNS($M103:O103),1)</f>
        <v>1</v>
      </c>
      <c r="Q103" s="2" t="str">
        <f>MID(HEX2BIN($M103,8),COLUMNS($M103:P103),1)</f>
        <v>0</v>
      </c>
      <c r="R103" s="2" t="str">
        <f>MID(HEX2BIN($M103,8),COLUMNS($M103:Q103),1)</f>
        <v>0</v>
      </c>
      <c r="S103" s="2" t="str">
        <f>MID(HEX2BIN($M103,8),COLUMNS($M103:R103),1)</f>
        <v>0</v>
      </c>
      <c r="T103" s="2" t="str">
        <f>MID(HEX2BIN($M103,8),COLUMNS($M103:S103),1)</f>
        <v>0</v>
      </c>
      <c r="U103" s="5" t="str">
        <f>MID(HEX2BIN($M103,8),COLUMNS($M103:T103),1)</f>
        <v>1</v>
      </c>
    </row>
    <row r="104" spans="10:21" x14ac:dyDescent="0.25">
      <c r="J104" s="64"/>
      <c r="K104" s="32"/>
      <c r="M104" s="3" t="str">
        <f t="shared" si="4"/>
        <v>62</v>
      </c>
      <c r="N104" s="2" t="str">
        <f>MID(HEX2BIN($M104,8),COLUMNS($M104:M104),1)</f>
        <v>0</v>
      </c>
      <c r="O104" s="2" t="str">
        <f>MID(HEX2BIN($M104,8),COLUMNS($M104:N104),1)</f>
        <v>1</v>
      </c>
      <c r="P104" s="2" t="str">
        <f>MID(HEX2BIN($M104,8),COLUMNS($M104:O104),1)</f>
        <v>1</v>
      </c>
      <c r="Q104" s="2" t="str">
        <f>MID(HEX2BIN($M104,8),COLUMNS($M104:P104),1)</f>
        <v>0</v>
      </c>
      <c r="R104" s="2" t="str">
        <f>MID(HEX2BIN($M104,8),COLUMNS($M104:Q104),1)</f>
        <v>0</v>
      </c>
      <c r="S104" s="2" t="str">
        <f>MID(HEX2BIN($M104,8),COLUMNS($M104:R104),1)</f>
        <v>0</v>
      </c>
      <c r="T104" s="2" t="str">
        <f>MID(HEX2BIN($M104,8),COLUMNS($M104:S104),1)</f>
        <v>1</v>
      </c>
      <c r="U104" s="5" t="str">
        <f>MID(HEX2BIN($M104,8),COLUMNS($M104:T104),1)</f>
        <v>0</v>
      </c>
    </row>
    <row r="105" spans="10:21" x14ac:dyDescent="0.25">
      <c r="J105" s="64"/>
      <c r="K105" s="32"/>
      <c r="M105" s="3" t="str">
        <f t="shared" si="4"/>
        <v>63</v>
      </c>
      <c r="N105" s="2" t="str">
        <f>MID(HEX2BIN($M105,8),COLUMNS($M105:M105),1)</f>
        <v>0</v>
      </c>
      <c r="O105" s="2" t="str">
        <f>MID(HEX2BIN($M105,8),COLUMNS($M105:N105),1)</f>
        <v>1</v>
      </c>
      <c r="P105" s="2" t="str">
        <f>MID(HEX2BIN($M105,8),COLUMNS($M105:O105),1)</f>
        <v>1</v>
      </c>
      <c r="Q105" s="2" t="str">
        <f>MID(HEX2BIN($M105,8),COLUMNS($M105:P105),1)</f>
        <v>0</v>
      </c>
      <c r="R105" s="2" t="str">
        <f>MID(HEX2BIN($M105,8),COLUMNS($M105:Q105),1)</f>
        <v>0</v>
      </c>
      <c r="S105" s="2" t="str">
        <f>MID(HEX2BIN($M105,8),COLUMNS($M105:R105),1)</f>
        <v>0</v>
      </c>
      <c r="T105" s="2" t="str">
        <f>MID(HEX2BIN($M105,8),COLUMNS($M105:S105),1)</f>
        <v>1</v>
      </c>
      <c r="U105" s="5" t="str">
        <f>MID(HEX2BIN($M105,8),COLUMNS($M105:T105),1)</f>
        <v>1</v>
      </c>
    </row>
    <row r="106" spans="10:21" x14ac:dyDescent="0.25">
      <c r="J106" s="64"/>
      <c r="K106" s="32"/>
      <c r="M106" s="3" t="str">
        <f t="shared" si="4"/>
        <v>64</v>
      </c>
      <c r="N106" s="2" t="str">
        <f>MID(HEX2BIN($M106,8),COLUMNS($M106:M106),1)</f>
        <v>0</v>
      </c>
      <c r="O106" s="2" t="str">
        <f>MID(HEX2BIN($M106,8),COLUMNS($M106:N106),1)</f>
        <v>1</v>
      </c>
      <c r="P106" s="2" t="str">
        <f>MID(HEX2BIN($M106,8),COLUMNS($M106:O106),1)</f>
        <v>1</v>
      </c>
      <c r="Q106" s="2" t="str">
        <f>MID(HEX2BIN($M106,8),COLUMNS($M106:P106),1)</f>
        <v>0</v>
      </c>
      <c r="R106" s="2" t="str">
        <f>MID(HEX2BIN($M106,8),COLUMNS($M106:Q106),1)</f>
        <v>0</v>
      </c>
      <c r="S106" s="2" t="str">
        <f>MID(HEX2BIN($M106,8),COLUMNS($M106:R106),1)</f>
        <v>1</v>
      </c>
      <c r="T106" s="2" t="str">
        <f>MID(HEX2BIN($M106,8),COLUMNS($M106:S106),1)</f>
        <v>0</v>
      </c>
      <c r="U106" s="5" t="str">
        <f>MID(HEX2BIN($M106,8),COLUMNS($M106:T106),1)</f>
        <v>0</v>
      </c>
    </row>
    <row r="107" spans="10:21" x14ac:dyDescent="0.25">
      <c r="J107" s="64"/>
      <c r="K107" s="32"/>
      <c r="M107" s="3" t="str">
        <f t="shared" si="4"/>
        <v>65</v>
      </c>
      <c r="N107" s="2" t="str">
        <f>MID(HEX2BIN($M107,8),COLUMNS($M107:M107),1)</f>
        <v>0</v>
      </c>
      <c r="O107" s="2" t="str">
        <f>MID(HEX2BIN($M107,8),COLUMNS($M107:N107),1)</f>
        <v>1</v>
      </c>
      <c r="P107" s="2" t="str">
        <f>MID(HEX2BIN($M107,8),COLUMNS($M107:O107),1)</f>
        <v>1</v>
      </c>
      <c r="Q107" s="2" t="str">
        <f>MID(HEX2BIN($M107,8),COLUMNS($M107:P107),1)</f>
        <v>0</v>
      </c>
      <c r="R107" s="2" t="str">
        <f>MID(HEX2BIN($M107,8),COLUMNS($M107:Q107),1)</f>
        <v>0</v>
      </c>
      <c r="S107" s="2" t="str">
        <f>MID(HEX2BIN($M107,8),COLUMNS($M107:R107),1)</f>
        <v>1</v>
      </c>
      <c r="T107" s="2" t="str">
        <f>MID(HEX2BIN($M107,8),COLUMNS($M107:S107),1)</f>
        <v>0</v>
      </c>
      <c r="U107" s="5" t="str">
        <f>MID(HEX2BIN($M107,8),COLUMNS($M107:T107),1)</f>
        <v>1</v>
      </c>
    </row>
    <row r="108" spans="10:21" x14ac:dyDescent="0.25">
      <c r="J108" s="64"/>
      <c r="K108" s="32"/>
      <c r="M108" s="3" t="str">
        <f t="shared" si="4"/>
        <v>66</v>
      </c>
      <c r="N108" s="2" t="str">
        <f>MID(HEX2BIN($M108,8),COLUMNS($M108:M108),1)</f>
        <v>0</v>
      </c>
      <c r="O108" s="2" t="str">
        <f>MID(HEX2BIN($M108,8),COLUMNS($M108:N108),1)</f>
        <v>1</v>
      </c>
      <c r="P108" s="2" t="str">
        <f>MID(HEX2BIN($M108,8),COLUMNS($M108:O108),1)</f>
        <v>1</v>
      </c>
      <c r="Q108" s="2" t="str">
        <f>MID(HEX2BIN($M108,8),COLUMNS($M108:P108),1)</f>
        <v>0</v>
      </c>
      <c r="R108" s="2" t="str">
        <f>MID(HEX2BIN($M108,8),COLUMNS($M108:Q108),1)</f>
        <v>0</v>
      </c>
      <c r="S108" s="2" t="str">
        <f>MID(HEX2BIN($M108,8),COLUMNS($M108:R108),1)</f>
        <v>1</v>
      </c>
      <c r="T108" s="2" t="str">
        <f>MID(HEX2BIN($M108,8),COLUMNS($M108:S108),1)</f>
        <v>1</v>
      </c>
      <c r="U108" s="5" t="str">
        <f>MID(HEX2BIN($M108,8),COLUMNS($M108:T108),1)</f>
        <v>0</v>
      </c>
    </row>
    <row r="109" spans="10:21" x14ac:dyDescent="0.25">
      <c r="J109" s="64"/>
      <c r="K109" s="32"/>
      <c r="M109" s="3" t="str">
        <f t="shared" si="4"/>
        <v>67</v>
      </c>
      <c r="N109" s="2" t="str">
        <f>MID(HEX2BIN($M109,8),COLUMNS($M109:M109),1)</f>
        <v>0</v>
      </c>
      <c r="O109" s="2" t="str">
        <f>MID(HEX2BIN($M109,8),COLUMNS($M109:N109),1)</f>
        <v>1</v>
      </c>
      <c r="P109" s="2" t="str">
        <f>MID(HEX2BIN($M109,8),COLUMNS($M109:O109),1)</f>
        <v>1</v>
      </c>
      <c r="Q109" s="2" t="str">
        <f>MID(HEX2BIN($M109,8),COLUMNS($M109:P109),1)</f>
        <v>0</v>
      </c>
      <c r="R109" s="2" t="str">
        <f>MID(HEX2BIN($M109,8),COLUMNS($M109:Q109),1)</f>
        <v>0</v>
      </c>
      <c r="S109" s="2" t="str">
        <f>MID(HEX2BIN($M109,8),COLUMNS($M109:R109),1)</f>
        <v>1</v>
      </c>
      <c r="T109" s="2" t="str">
        <f>MID(HEX2BIN($M109,8),COLUMNS($M109:S109),1)</f>
        <v>1</v>
      </c>
      <c r="U109" s="5" t="str">
        <f>MID(HEX2BIN($M109,8),COLUMNS($M109:T109),1)</f>
        <v>1</v>
      </c>
    </row>
    <row r="110" spans="10:21" x14ac:dyDescent="0.25">
      <c r="J110" s="64"/>
      <c r="K110" s="32"/>
      <c r="M110" s="3" t="str">
        <f t="shared" si="4"/>
        <v>68</v>
      </c>
      <c r="N110" s="2" t="str">
        <f>MID(HEX2BIN($M110,8),COLUMNS($M110:M110),1)</f>
        <v>0</v>
      </c>
      <c r="O110" s="2" t="str">
        <f>MID(HEX2BIN($M110,8),COLUMNS($M110:N110),1)</f>
        <v>1</v>
      </c>
      <c r="P110" s="2" t="str">
        <f>MID(HEX2BIN($M110,8),COLUMNS($M110:O110),1)</f>
        <v>1</v>
      </c>
      <c r="Q110" s="2" t="str">
        <f>MID(HEX2BIN($M110,8),COLUMNS($M110:P110),1)</f>
        <v>0</v>
      </c>
      <c r="R110" s="2" t="str">
        <f>MID(HEX2BIN($M110,8),COLUMNS($M110:Q110),1)</f>
        <v>1</v>
      </c>
      <c r="S110" s="2" t="str">
        <f>MID(HEX2BIN($M110,8),COLUMNS($M110:R110),1)</f>
        <v>0</v>
      </c>
      <c r="T110" s="2" t="str">
        <f>MID(HEX2BIN($M110,8),COLUMNS($M110:S110),1)</f>
        <v>0</v>
      </c>
      <c r="U110" s="5" t="str">
        <f>MID(HEX2BIN($M110,8),COLUMNS($M110:T110),1)</f>
        <v>0</v>
      </c>
    </row>
    <row r="111" spans="10:21" x14ac:dyDescent="0.25">
      <c r="J111" s="64"/>
      <c r="K111" s="32"/>
      <c r="M111" s="3" t="str">
        <f t="shared" si="4"/>
        <v>69</v>
      </c>
      <c r="N111" s="2" t="str">
        <f>MID(HEX2BIN($M111,8),COLUMNS($M111:M111),1)</f>
        <v>0</v>
      </c>
      <c r="O111" s="2" t="str">
        <f>MID(HEX2BIN($M111,8),COLUMNS($M111:N111),1)</f>
        <v>1</v>
      </c>
      <c r="P111" s="2" t="str">
        <f>MID(HEX2BIN($M111,8),COLUMNS($M111:O111),1)</f>
        <v>1</v>
      </c>
      <c r="Q111" s="2" t="str">
        <f>MID(HEX2BIN($M111,8),COLUMNS($M111:P111),1)</f>
        <v>0</v>
      </c>
      <c r="R111" s="2" t="str">
        <f>MID(HEX2BIN($M111,8),COLUMNS($M111:Q111),1)</f>
        <v>1</v>
      </c>
      <c r="S111" s="2" t="str">
        <f>MID(HEX2BIN($M111,8),COLUMNS($M111:R111),1)</f>
        <v>0</v>
      </c>
      <c r="T111" s="2" t="str">
        <f>MID(HEX2BIN($M111,8),COLUMNS($M111:S111),1)</f>
        <v>0</v>
      </c>
      <c r="U111" s="5" t="str">
        <f>MID(HEX2BIN($M111,8),COLUMNS($M111:T111),1)</f>
        <v>1</v>
      </c>
    </row>
    <row r="112" spans="10:21" x14ac:dyDescent="0.25">
      <c r="J112" s="64"/>
      <c r="K112" s="32"/>
      <c r="M112" s="3" t="str">
        <f t="shared" si="4"/>
        <v>6A</v>
      </c>
      <c r="N112" s="2" t="str">
        <f>MID(HEX2BIN($M112,8),COLUMNS($M112:M112),1)</f>
        <v>0</v>
      </c>
      <c r="O112" s="2" t="str">
        <f>MID(HEX2BIN($M112,8),COLUMNS($M112:N112),1)</f>
        <v>1</v>
      </c>
      <c r="P112" s="2" t="str">
        <f>MID(HEX2BIN($M112,8),COLUMNS($M112:O112),1)</f>
        <v>1</v>
      </c>
      <c r="Q112" s="2" t="str">
        <f>MID(HEX2BIN($M112,8),COLUMNS($M112:P112),1)</f>
        <v>0</v>
      </c>
      <c r="R112" s="2" t="str">
        <f>MID(HEX2BIN($M112,8),COLUMNS($M112:Q112),1)</f>
        <v>1</v>
      </c>
      <c r="S112" s="2" t="str">
        <f>MID(HEX2BIN($M112,8),COLUMNS($M112:R112),1)</f>
        <v>0</v>
      </c>
      <c r="T112" s="2" t="str">
        <f>MID(HEX2BIN($M112,8),COLUMNS($M112:S112),1)</f>
        <v>1</v>
      </c>
      <c r="U112" s="5" t="str">
        <f>MID(HEX2BIN($M112,8),COLUMNS($M112:T112),1)</f>
        <v>0</v>
      </c>
    </row>
    <row r="113" spans="10:21" x14ac:dyDescent="0.25">
      <c r="J113" s="64"/>
      <c r="K113" s="32"/>
      <c r="M113" s="3" t="str">
        <f t="shared" si="4"/>
        <v>6B</v>
      </c>
      <c r="N113" s="2" t="str">
        <f>MID(HEX2BIN($M113,8),COLUMNS($M113:M113),1)</f>
        <v>0</v>
      </c>
      <c r="O113" s="2" t="str">
        <f>MID(HEX2BIN($M113,8),COLUMNS($M113:N113),1)</f>
        <v>1</v>
      </c>
      <c r="P113" s="2" t="str">
        <f>MID(HEX2BIN($M113,8),COLUMNS($M113:O113),1)</f>
        <v>1</v>
      </c>
      <c r="Q113" s="2" t="str">
        <f>MID(HEX2BIN($M113,8),COLUMNS($M113:P113),1)</f>
        <v>0</v>
      </c>
      <c r="R113" s="2" t="str">
        <f>MID(HEX2BIN($M113,8),COLUMNS($M113:Q113),1)</f>
        <v>1</v>
      </c>
      <c r="S113" s="2" t="str">
        <f>MID(HEX2BIN($M113,8),COLUMNS($M113:R113),1)</f>
        <v>0</v>
      </c>
      <c r="T113" s="2" t="str">
        <f>MID(HEX2BIN($M113,8),COLUMNS($M113:S113),1)</f>
        <v>1</v>
      </c>
      <c r="U113" s="5" t="str">
        <f>MID(HEX2BIN($M113,8),COLUMNS($M113:T113),1)</f>
        <v>1</v>
      </c>
    </row>
    <row r="114" spans="10:21" x14ac:dyDescent="0.25">
      <c r="J114" s="64"/>
      <c r="K114" s="32"/>
      <c r="M114" s="3" t="str">
        <f t="shared" si="4"/>
        <v>6C</v>
      </c>
      <c r="N114" s="2" t="str">
        <f>MID(HEX2BIN($M114,8),COLUMNS($M114:M114),1)</f>
        <v>0</v>
      </c>
      <c r="O114" s="2" t="str">
        <f>MID(HEX2BIN($M114,8),COLUMNS($M114:N114),1)</f>
        <v>1</v>
      </c>
      <c r="P114" s="2" t="str">
        <f>MID(HEX2BIN($M114,8),COLUMNS($M114:O114),1)</f>
        <v>1</v>
      </c>
      <c r="Q114" s="2" t="str">
        <f>MID(HEX2BIN($M114,8),COLUMNS($M114:P114),1)</f>
        <v>0</v>
      </c>
      <c r="R114" s="2" t="str">
        <f>MID(HEX2BIN($M114,8),COLUMNS($M114:Q114),1)</f>
        <v>1</v>
      </c>
      <c r="S114" s="2" t="str">
        <f>MID(HEX2BIN($M114,8),COLUMNS($M114:R114),1)</f>
        <v>1</v>
      </c>
      <c r="T114" s="2" t="str">
        <f>MID(HEX2BIN($M114,8),COLUMNS($M114:S114),1)</f>
        <v>0</v>
      </c>
      <c r="U114" s="5" t="str">
        <f>MID(HEX2BIN($M114,8),COLUMNS($M114:T114),1)</f>
        <v>0</v>
      </c>
    </row>
    <row r="115" spans="10:21" x14ac:dyDescent="0.25">
      <c r="J115" s="64"/>
      <c r="K115" s="32"/>
      <c r="M115" s="3" t="str">
        <f t="shared" si="4"/>
        <v>6D</v>
      </c>
      <c r="N115" s="2" t="str">
        <f>MID(HEX2BIN($M115,8),COLUMNS($M115:M115),1)</f>
        <v>0</v>
      </c>
      <c r="O115" s="2" t="str">
        <f>MID(HEX2BIN($M115,8),COLUMNS($M115:N115),1)</f>
        <v>1</v>
      </c>
      <c r="P115" s="2" t="str">
        <f>MID(HEX2BIN($M115,8),COLUMNS($M115:O115),1)</f>
        <v>1</v>
      </c>
      <c r="Q115" s="2" t="str">
        <f>MID(HEX2BIN($M115,8),COLUMNS($M115:P115),1)</f>
        <v>0</v>
      </c>
      <c r="R115" s="2" t="str">
        <f>MID(HEX2BIN($M115,8),COLUMNS($M115:Q115),1)</f>
        <v>1</v>
      </c>
      <c r="S115" s="2" t="str">
        <f>MID(HEX2BIN($M115,8),COLUMNS($M115:R115),1)</f>
        <v>1</v>
      </c>
      <c r="T115" s="2" t="str">
        <f>MID(HEX2BIN($M115,8),COLUMNS($M115:S115),1)</f>
        <v>0</v>
      </c>
      <c r="U115" s="5" t="str">
        <f>MID(HEX2BIN($M115,8),COLUMNS($M115:T115),1)</f>
        <v>1</v>
      </c>
    </row>
    <row r="116" spans="10:21" x14ac:dyDescent="0.25">
      <c r="J116" s="64"/>
      <c r="K116" s="32"/>
      <c r="M116" s="3" t="str">
        <f t="shared" si="4"/>
        <v>6E</v>
      </c>
      <c r="N116" s="2" t="str">
        <f>MID(HEX2BIN($M116,8),COLUMNS($M116:M116),1)</f>
        <v>0</v>
      </c>
      <c r="O116" s="2" t="str">
        <f>MID(HEX2BIN($M116,8),COLUMNS($M116:N116),1)</f>
        <v>1</v>
      </c>
      <c r="P116" s="2" t="str">
        <f>MID(HEX2BIN($M116,8),COLUMNS($M116:O116),1)</f>
        <v>1</v>
      </c>
      <c r="Q116" s="2" t="str">
        <f>MID(HEX2BIN($M116,8),COLUMNS($M116:P116),1)</f>
        <v>0</v>
      </c>
      <c r="R116" s="2" t="str">
        <f>MID(HEX2BIN($M116,8),COLUMNS($M116:Q116),1)</f>
        <v>1</v>
      </c>
      <c r="S116" s="2" t="str">
        <f>MID(HEX2BIN($M116,8),COLUMNS($M116:R116),1)</f>
        <v>1</v>
      </c>
      <c r="T116" s="2" t="str">
        <f>MID(HEX2BIN($M116,8),COLUMNS($M116:S116),1)</f>
        <v>1</v>
      </c>
      <c r="U116" s="5" t="str">
        <f>MID(HEX2BIN($M116,8),COLUMNS($M116:T116),1)</f>
        <v>0</v>
      </c>
    </row>
    <row r="117" spans="10:21" x14ac:dyDescent="0.25">
      <c r="J117" s="64"/>
      <c r="K117" s="32"/>
      <c r="M117" s="3" t="str">
        <f t="shared" si="4"/>
        <v>6F</v>
      </c>
      <c r="N117" s="2" t="str">
        <f>MID(HEX2BIN($M117,8),COLUMNS($M117:M117),1)</f>
        <v>0</v>
      </c>
      <c r="O117" s="2" t="str">
        <f>MID(HEX2BIN($M117,8),COLUMNS($M117:N117),1)</f>
        <v>1</v>
      </c>
      <c r="P117" s="2" t="str">
        <f>MID(HEX2BIN($M117,8),COLUMNS($M117:O117),1)</f>
        <v>1</v>
      </c>
      <c r="Q117" s="2" t="str">
        <f>MID(HEX2BIN($M117,8),COLUMNS($M117:P117),1)</f>
        <v>0</v>
      </c>
      <c r="R117" s="2" t="str">
        <f>MID(HEX2BIN($M117,8),COLUMNS($M117:Q117),1)</f>
        <v>1</v>
      </c>
      <c r="S117" s="2" t="str">
        <f>MID(HEX2BIN($M117,8),COLUMNS($M117:R117),1)</f>
        <v>1</v>
      </c>
      <c r="T117" s="2" t="str">
        <f>MID(HEX2BIN($M117,8),COLUMNS($M117:S117),1)</f>
        <v>1</v>
      </c>
      <c r="U117" s="5" t="str">
        <f>MID(HEX2BIN($M117,8),COLUMNS($M117:T117),1)</f>
        <v>1</v>
      </c>
    </row>
    <row r="118" spans="10:21" x14ac:dyDescent="0.25">
      <c r="J118" s="64"/>
      <c r="K118" s="32"/>
      <c r="M118" s="3" t="str">
        <f t="shared" si="4"/>
        <v>70</v>
      </c>
      <c r="N118" s="2" t="str">
        <f>MID(HEX2BIN($M118,8),COLUMNS($M118:M118),1)</f>
        <v>0</v>
      </c>
      <c r="O118" s="2" t="str">
        <f>MID(HEX2BIN($M118,8),COLUMNS($M118:N118),1)</f>
        <v>1</v>
      </c>
      <c r="P118" s="2" t="str">
        <f>MID(HEX2BIN($M118,8),COLUMNS($M118:O118),1)</f>
        <v>1</v>
      </c>
      <c r="Q118" s="2" t="str">
        <f>MID(HEX2BIN($M118,8),COLUMNS($M118:P118),1)</f>
        <v>1</v>
      </c>
      <c r="R118" s="2" t="str">
        <f>MID(HEX2BIN($M118,8),COLUMNS($M118:Q118),1)</f>
        <v>0</v>
      </c>
      <c r="S118" s="2" t="str">
        <f>MID(HEX2BIN($M118,8),COLUMNS($M118:R118),1)</f>
        <v>0</v>
      </c>
      <c r="T118" s="2" t="str">
        <f>MID(HEX2BIN($M118,8),COLUMNS($M118:S118),1)</f>
        <v>0</v>
      </c>
      <c r="U118" s="5" t="str">
        <f>MID(HEX2BIN($M118,8),COLUMNS($M118:T118),1)</f>
        <v>0</v>
      </c>
    </row>
    <row r="119" spans="10:21" x14ac:dyDescent="0.25">
      <c r="J119" s="64"/>
      <c r="K119" s="32"/>
      <c r="M119" s="3" t="str">
        <f t="shared" si="4"/>
        <v>71</v>
      </c>
      <c r="N119" s="2" t="str">
        <f>MID(HEX2BIN($M119,8),COLUMNS($M119:M119),1)</f>
        <v>0</v>
      </c>
      <c r="O119" s="2" t="str">
        <f>MID(HEX2BIN($M119,8),COLUMNS($M119:N119),1)</f>
        <v>1</v>
      </c>
      <c r="P119" s="2" t="str">
        <f>MID(HEX2BIN($M119,8),COLUMNS($M119:O119),1)</f>
        <v>1</v>
      </c>
      <c r="Q119" s="2" t="str">
        <f>MID(HEX2BIN($M119,8),COLUMNS($M119:P119),1)</f>
        <v>1</v>
      </c>
      <c r="R119" s="2" t="str">
        <f>MID(HEX2BIN($M119,8),COLUMNS($M119:Q119),1)</f>
        <v>0</v>
      </c>
      <c r="S119" s="2" t="str">
        <f>MID(HEX2BIN($M119,8),COLUMNS($M119:R119),1)</f>
        <v>0</v>
      </c>
      <c r="T119" s="2" t="str">
        <f>MID(HEX2BIN($M119,8),COLUMNS($M119:S119),1)</f>
        <v>0</v>
      </c>
      <c r="U119" s="5" t="str">
        <f>MID(HEX2BIN($M119,8),COLUMNS($M119:T119),1)</f>
        <v>1</v>
      </c>
    </row>
    <row r="120" spans="10:21" x14ac:dyDescent="0.25">
      <c r="J120" s="64"/>
      <c r="K120" s="32"/>
      <c r="M120" s="3" t="str">
        <f t="shared" si="4"/>
        <v>72</v>
      </c>
      <c r="N120" s="2" t="str">
        <f>MID(HEX2BIN($M120,8),COLUMNS($M120:M120),1)</f>
        <v>0</v>
      </c>
      <c r="O120" s="2" t="str">
        <f>MID(HEX2BIN($M120,8),COLUMNS($M120:N120),1)</f>
        <v>1</v>
      </c>
      <c r="P120" s="2" t="str">
        <f>MID(HEX2BIN($M120,8),COLUMNS($M120:O120),1)</f>
        <v>1</v>
      </c>
      <c r="Q120" s="2" t="str">
        <f>MID(HEX2BIN($M120,8),COLUMNS($M120:P120),1)</f>
        <v>1</v>
      </c>
      <c r="R120" s="2" t="str">
        <f>MID(HEX2BIN($M120,8),COLUMNS($M120:Q120),1)</f>
        <v>0</v>
      </c>
      <c r="S120" s="2" t="str">
        <f>MID(HEX2BIN($M120,8),COLUMNS($M120:R120),1)</f>
        <v>0</v>
      </c>
      <c r="T120" s="2" t="str">
        <f>MID(HEX2BIN($M120,8),COLUMNS($M120:S120),1)</f>
        <v>1</v>
      </c>
      <c r="U120" s="5" t="str">
        <f>MID(HEX2BIN($M120,8),COLUMNS($M120:T120),1)</f>
        <v>0</v>
      </c>
    </row>
    <row r="121" spans="10:21" x14ac:dyDescent="0.25">
      <c r="J121" s="64"/>
      <c r="K121" s="32"/>
      <c r="M121" s="3" t="str">
        <f t="shared" si="4"/>
        <v>73</v>
      </c>
      <c r="N121" s="2" t="str">
        <f>MID(HEX2BIN($M121,8),COLUMNS($M121:M121),1)</f>
        <v>0</v>
      </c>
      <c r="O121" s="2" t="str">
        <f>MID(HEX2BIN($M121,8),COLUMNS($M121:N121),1)</f>
        <v>1</v>
      </c>
      <c r="P121" s="2" t="str">
        <f>MID(HEX2BIN($M121,8),COLUMNS($M121:O121),1)</f>
        <v>1</v>
      </c>
      <c r="Q121" s="2" t="str">
        <f>MID(HEX2BIN($M121,8),COLUMNS($M121:P121),1)</f>
        <v>1</v>
      </c>
      <c r="R121" s="2" t="str">
        <f>MID(HEX2BIN($M121,8),COLUMNS($M121:Q121),1)</f>
        <v>0</v>
      </c>
      <c r="S121" s="2" t="str">
        <f>MID(HEX2BIN($M121,8),COLUMNS($M121:R121),1)</f>
        <v>0</v>
      </c>
      <c r="T121" s="2" t="str">
        <f>MID(HEX2BIN($M121,8),COLUMNS($M121:S121),1)</f>
        <v>1</v>
      </c>
      <c r="U121" s="5" t="str">
        <f>MID(HEX2BIN($M121,8),COLUMNS($M121:T121),1)</f>
        <v>1</v>
      </c>
    </row>
    <row r="122" spans="10:21" x14ac:dyDescent="0.25">
      <c r="J122" s="64"/>
      <c r="K122" s="32"/>
      <c r="M122" s="3" t="str">
        <f t="shared" si="4"/>
        <v>74</v>
      </c>
      <c r="N122" s="2" t="str">
        <f>MID(HEX2BIN($M122,8),COLUMNS($M122:M122),1)</f>
        <v>0</v>
      </c>
      <c r="O122" s="2" t="str">
        <f>MID(HEX2BIN($M122,8),COLUMNS($M122:N122),1)</f>
        <v>1</v>
      </c>
      <c r="P122" s="2" t="str">
        <f>MID(HEX2BIN($M122,8),COLUMNS($M122:O122),1)</f>
        <v>1</v>
      </c>
      <c r="Q122" s="2" t="str">
        <f>MID(HEX2BIN($M122,8),COLUMNS($M122:P122),1)</f>
        <v>1</v>
      </c>
      <c r="R122" s="2" t="str">
        <f>MID(HEX2BIN($M122,8),COLUMNS($M122:Q122),1)</f>
        <v>0</v>
      </c>
      <c r="S122" s="2" t="str">
        <f>MID(HEX2BIN($M122,8),COLUMNS($M122:R122),1)</f>
        <v>1</v>
      </c>
      <c r="T122" s="2" t="str">
        <f>MID(HEX2BIN($M122,8),COLUMNS($M122:S122),1)</f>
        <v>0</v>
      </c>
      <c r="U122" s="5" t="str">
        <f>MID(HEX2BIN($M122,8),COLUMNS($M122:T122),1)</f>
        <v>0</v>
      </c>
    </row>
    <row r="123" spans="10:21" x14ac:dyDescent="0.25">
      <c r="J123" s="64"/>
      <c r="K123" s="32"/>
      <c r="M123" s="3" t="str">
        <f t="shared" si="4"/>
        <v>75</v>
      </c>
      <c r="N123" s="2" t="str">
        <f>MID(HEX2BIN($M123,8),COLUMNS($M123:M123),1)</f>
        <v>0</v>
      </c>
      <c r="O123" s="2" t="str">
        <f>MID(HEX2BIN($M123,8),COLUMNS($M123:N123),1)</f>
        <v>1</v>
      </c>
      <c r="P123" s="2" t="str">
        <f>MID(HEX2BIN($M123,8),COLUMNS($M123:O123),1)</f>
        <v>1</v>
      </c>
      <c r="Q123" s="2" t="str">
        <f>MID(HEX2BIN($M123,8),COLUMNS($M123:P123),1)</f>
        <v>1</v>
      </c>
      <c r="R123" s="2" t="str">
        <f>MID(HEX2BIN($M123,8),COLUMNS($M123:Q123),1)</f>
        <v>0</v>
      </c>
      <c r="S123" s="2" t="str">
        <f>MID(HEX2BIN($M123,8),COLUMNS($M123:R123),1)</f>
        <v>1</v>
      </c>
      <c r="T123" s="2" t="str">
        <f>MID(HEX2BIN($M123,8),COLUMNS($M123:S123),1)</f>
        <v>0</v>
      </c>
      <c r="U123" s="5" t="str">
        <f>MID(HEX2BIN($M123,8),COLUMNS($M123:T123),1)</f>
        <v>1</v>
      </c>
    </row>
    <row r="124" spans="10:21" x14ac:dyDescent="0.25">
      <c r="J124" s="64"/>
      <c r="K124" s="32"/>
      <c r="M124" s="3" t="str">
        <f t="shared" si="4"/>
        <v>76</v>
      </c>
      <c r="N124" s="2" t="str">
        <f>MID(HEX2BIN($M124,8),COLUMNS($M124:M124),1)</f>
        <v>0</v>
      </c>
      <c r="O124" s="2" t="str">
        <f>MID(HEX2BIN($M124,8),COLUMNS($M124:N124),1)</f>
        <v>1</v>
      </c>
      <c r="P124" s="2" t="str">
        <f>MID(HEX2BIN($M124,8),COLUMNS($M124:O124),1)</f>
        <v>1</v>
      </c>
      <c r="Q124" s="2" t="str">
        <f>MID(HEX2BIN($M124,8),COLUMNS($M124:P124),1)</f>
        <v>1</v>
      </c>
      <c r="R124" s="2" t="str">
        <f>MID(HEX2BIN($M124,8),COLUMNS($M124:Q124),1)</f>
        <v>0</v>
      </c>
      <c r="S124" s="2" t="str">
        <f>MID(HEX2BIN($M124,8),COLUMNS($M124:R124),1)</f>
        <v>1</v>
      </c>
      <c r="T124" s="2" t="str">
        <f>MID(HEX2BIN($M124,8),COLUMNS($M124:S124),1)</f>
        <v>1</v>
      </c>
      <c r="U124" s="5" t="str">
        <f>MID(HEX2BIN($M124,8),COLUMNS($M124:T124),1)</f>
        <v>0</v>
      </c>
    </row>
    <row r="125" spans="10:21" x14ac:dyDescent="0.25">
      <c r="J125" s="64"/>
      <c r="K125" s="32"/>
      <c r="M125" s="3" t="str">
        <f t="shared" si="4"/>
        <v>77</v>
      </c>
      <c r="N125" s="2" t="str">
        <f>MID(HEX2BIN($M125,8),COLUMNS($M125:M125),1)</f>
        <v>0</v>
      </c>
      <c r="O125" s="2" t="str">
        <f>MID(HEX2BIN($M125,8),COLUMNS($M125:N125),1)</f>
        <v>1</v>
      </c>
      <c r="P125" s="2" t="str">
        <f>MID(HEX2BIN($M125,8),COLUMNS($M125:O125),1)</f>
        <v>1</v>
      </c>
      <c r="Q125" s="2" t="str">
        <f>MID(HEX2BIN($M125,8),COLUMNS($M125:P125),1)</f>
        <v>1</v>
      </c>
      <c r="R125" s="2" t="str">
        <f>MID(HEX2BIN($M125,8),COLUMNS($M125:Q125),1)</f>
        <v>0</v>
      </c>
      <c r="S125" s="2" t="str">
        <f>MID(HEX2BIN($M125,8),COLUMNS($M125:R125),1)</f>
        <v>1</v>
      </c>
      <c r="T125" s="2" t="str">
        <f>MID(HEX2BIN($M125,8),COLUMNS($M125:S125),1)</f>
        <v>1</v>
      </c>
      <c r="U125" s="5" t="str">
        <f>MID(HEX2BIN($M125,8),COLUMNS($M125:T125),1)</f>
        <v>1</v>
      </c>
    </row>
    <row r="126" spans="10:21" x14ac:dyDescent="0.25">
      <c r="J126" s="64"/>
      <c r="K126" s="32"/>
      <c r="M126" s="3" t="str">
        <f t="shared" si="4"/>
        <v>78</v>
      </c>
      <c r="N126" s="2" t="str">
        <f>MID(HEX2BIN($M126,8),COLUMNS($M126:M126),1)</f>
        <v>0</v>
      </c>
      <c r="O126" s="2" t="str">
        <f>MID(HEX2BIN($M126,8),COLUMNS($M126:N126),1)</f>
        <v>1</v>
      </c>
      <c r="P126" s="2" t="str">
        <f>MID(HEX2BIN($M126,8),COLUMNS($M126:O126),1)</f>
        <v>1</v>
      </c>
      <c r="Q126" s="2" t="str">
        <f>MID(HEX2BIN($M126,8),COLUMNS($M126:P126),1)</f>
        <v>1</v>
      </c>
      <c r="R126" s="2" t="str">
        <f>MID(HEX2BIN($M126,8),COLUMNS($M126:Q126),1)</f>
        <v>1</v>
      </c>
      <c r="S126" s="2" t="str">
        <f>MID(HEX2BIN($M126,8),COLUMNS($M126:R126),1)</f>
        <v>0</v>
      </c>
      <c r="T126" s="2" t="str">
        <f>MID(HEX2BIN($M126,8),COLUMNS($M126:S126),1)</f>
        <v>0</v>
      </c>
      <c r="U126" s="5" t="str">
        <f>MID(HEX2BIN($M126,8),COLUMNS($M126:T126),1)</f>
        <v>0</v>
      </c>
    </row>
    <row r="127" spans="10:21" x14ac:dyDescent="0.25">
      <c r="J127" s="64"/>
      <c r="K127" s="32"/>
      <c r="M127" s="3" t="str">
        <f t="shared" si="4"/>
        <v>79</v>
      </c>
      <c r="N127" s="2" t="str">
        <f>MID(HEX2BIN($M127,8),COLUMNS($M127:M127),1)</f>
        <v>0</v>
      </c>
      <c r="O127" s="2" t="str">
        <f>MID(HEX2BIN($M127,8),COLUMNS($M127:N127),1)</f>
        <v>1</v>
      </c>
      <c r="P127" s="2" t="str">
        <f>MID(HEX2BIN($M127,8),COLUMNS($M127:O127),1)</f>
        <v>1</v>
      </c>
      <c r="Q127" s="2" t="str">
        <f>MID(HEX2BIN($M127,8),COLUMNS($M127:P127),1)</f>
        <v>1</v>
      </c>
      <c r="R127" s="2" t="str">
        <f>MID(HEX2BIN($M127,8),COLUMNS($M127:Q127),1)</f>
        <v>1</v>
      </c>
      <c r="S127" s="2" t="str">
        <f>MID(HEX2BIN($M127,8),COLUMNS($M127:R127),1)</f>
        <v>0</v>
      </c>
      <c r="T127" s="2" t="str">
        <f>MID(HEX2BIN($M127,8),COLUMNS($M127:S127),1)</f>
        <v>0</v>
      </c>
      <c r="U127" s="5" t="str">
        <f>MID(HEX2BIN($M127,8),COLUMNS($M127:T127),1)</f>
        <v>1</v>
      </c>
    </row>
    <row r="128" spans="10:21" x14ac:dyDescent="0.25">
      <c r="J128" s="64"/>
      <c r="K128" s="32"/>
      <c r="M128" s="3" t="str">
        <f t="shared" si="4"/>
        <v>7A</v>
      </c>
      <c r="N128" s="2" t="str">
        <f>MID(HEX2BIN($M128,8),COLUMNS($M128:M128),1)</f>
        <v>0</v>
      </c>
      <c r="O128" s="2" t="str">
        <f>MID(HEX2BIN($M128,8),COLUMNS($M128:N128),1)</f>
        <v>1</v>
      </c>
      <c r="P128" s="2" t="str">
        <f>MID(HEX2BIN($M128,8),COLUMNS($M128:O128),1)</f>
        <v>1</v>
      </c>
      <c r="Q128" s="2" t="str">
        <f>MID(HEX2BIN($M128,8),COLUMNS($M128:P128),1)</f>
        <v>1</v>
      </c>
      <c r="R128" s="2" t="str">
        <f>MID(HEX2BIN($M128,8),COLUMNS($M128:Q128),1)</f>
        <v>1</v>
      </c>
      <c r="S128" s="2" t="str">
        <f>MID(HEX2BIN($M128,8),COLUMNS($M128:R128),1)</f>
        <v>0</v>
      </c>
      <c r="T128" s="2" t="str">
        <f>MID(HEX2BIN($M128,8),COLUMNS($M128:S128),1)</f>
        <v>1</v>
      </c>
      <c r="U128" s="5" t="str">
        <f>MID(HEX2BIN($M128,8),COLUMNS($M128:T128),1)</f>
        <v>0</v>
      </c>
    </row>
    <row r="129" spans="10:21" x14ac:dyDescent="0.25">
      <c r="J129" s="64"/>
      <c r="K129" s="32"/>
      <c r="M129" s="3" t="str">
        <f t="shared" si="4"/>
        <v>7B</v>
      </c>
      <c r="N129" s="2" t="str">
        <f>MID(HEX2BIN($M129,8),COLUMNS($M129:M129),1)</f>
        <v>0</v>
      </c>
      <c r="O129" s="2" t="str">
        <f>MID(HEX2BIN($M129,8),COLUMNS($M129:N129),1)</f>
        <v>1</v>
      </c>
      <c r="P129" s="2" t="str">
        <f>MID(HEX2BIN($M129,8),COLUMNS($M129:O129),1)</f>
        <v>1</v>
      </c>
      <c r="Q129" s="2" t="str">
        <f>MID(HEX2BIN($M129,8),COLUMNS($M129:P129),1)</f>
        <v>1</v>
      </c>
      <c r="R129" s="2" t="str">
        <f>MID(HEX2BIN($M129,8),COLUMNS($M129:Q129),1)</f>
        <v>1</v>
      </c>
      <c r="S129" s="2" t="str">
        <f>MID(HEX2BIN($M129,8),COLUMNS($M129:R129),1)</f>
        <v>0</v>
      </c>
      <c r="T129" s="2" t="str">
        <f>MID(HEX2BIN($M129,8),COLUMNS($M129:S129),1)</f>
        <v>1</v>
      </c>
      <c r="U129" s="5" t="str">
        <f>MID(HEX2BIN($M129,8),COLUMNS($M129:T129),1)</f>
        <v>1</v>
      </c>
    </row>
    <row r="130" spans="10:21" x14ac:dyDescent="0.25">
      <c r="J130" s="64"/>
      <c r="K130" s="32"/>
      <c r="M130" s="3" t="str">
        <f t="shared" si="4"/>
        <v>7C</v>
      </c>
      <c r="N130" s="2" t="str">
        <f>MID(HEX2BIN($M130,8),COLUMNS($M130:M130),1)</f>
        <v>0</v>
      </c>
      <c r="O130" s="2" t="str">
        <f>MID(HEX2BIN($M130,8),COLUMNS($M130:N130),1)</f>
        <v>1</v>
      </c>
      <c r="P130" s="2" t="str">
        <f>MID(HEX2BIN($M130,8),COLUMNS($M130:O130),1)</f>
        <v>1</v>
      </c>
      <c r="Q130" s="2" t="str">
        <f>MID(HEX2BIN($M130,8),COLUMNS($M130:P130),1)</f>
        <v>1</v>
      </c>
      <c r="R130" s="2" t="str">
        <f>MID(HEX2BIN($M130,8),COLUMNS($M130:Q130),1)</f>
        <v>1</v>
      </c>
      <c r="S130" s="2" t="str">
        <f>MID(HEX2BIN($M130,8),COLUMNS($M130:R130),1)</f>
        <v>1</v>
      </c>
      <c r="T130" s="2" t="str">
        <f>MID(HEX2BIN($M130,8),COLUMNS($M130:S130),1)</f>
        <v>0</v>
      </c>
      <c r="U130" s="5" t="str">
        <f>MID(HEX2BIN($M130,8),COLUMNS($M130:T130),1)</f>
        <v>0</v>
      </c>
    </row>
    <row r="131" spans="10:21" x14ac:dyDescent="0.25">
      <c r="J131" s="64"/>
      <c r="K131" s="32"/>
      <c r="M131" s="3" t="str">
        <f t="shared" si="4"/>
        <v>7D</v>
      </c>
      <c r="N131" s="2" t="str">
        <f>MID(HEX2BIN($M131,8),COLUMNS($M131:M131),1)</f>
        <v>0</v>
      </c>
      <c r="O131" s="2" t="str">
        <f>MID(HEX2BIN($M131,8),COLUMNS($M131:N131),1)</f>
        <v>1</v>
      </c>
      <c r="P131" s="2" t="str">
        <f>MID(HEX2BIN($M131,8),COLUMNS($M131:O131),1)</f>
        <v>1</v>
      </c>
      <c r="Q131" s="2" t="str">
        <f>MID(HEX2BIN($M131,8),COLUMNS($M131:P131),1)</f>
        <v>1</v>
      </c>
      <c r="R131" s="2" t="str">
        <f>MID(HEX2BIN($M131,8),COLUMNS($M131:Q131),1)</f>
        <v>1</v>
      </c>
      <c r="S131" s="2" t="str">
        <f>MID(HEX2BIN($M131,8),COLUMNS($M131:R131),1)</f>
        <v>1</v>
      </c>
      <c r="T131" s="2" t="str">
        <f>MID(HEX2BIN($M131,8),COLUMNS($M131:S131),1)</f>
        <v>0</v>
      </c>
      <c r="U131" s="5" t="str">
        <f>MID(HEX2BIN($M131,8),COLUMNS($M131:T131),1)</f>
        <v>1</v>
      </c>
    </row>
    <row r="132" spans="10:21" x14ac:dyDescent="0.25">
      <c r="J132" s="64"/>
      <c r="K132" s="32"/>
      <c r="M132" s="3" t="str">
        <f t="shared" si="4"/>
        <v>7E</v>
      </c>
      <c r="N132" s="2" t="str">
        <f>MID(HEX2BIN($M132,8),COLUMNS($M132:M132),1)</f>
        <v>0</v>
      </c>
      <c r="O132" s="2" t="str">
        <f>MID(HEX2BIN($M132,8),COLUMNS($M132:N132),1)</f>
        <v>1</v>
      </c>
      <c r="P132" s="2" t="str">
        <f>MID(HEX2BIN($M132,8),COLUMNS($M132:O132),1)</f>
        <v>1</v>
      </c>
      <c r="Q132" s="2" t="str">
        <f>MID(HEX2BIN($M132,8),COLUMNS($M132:P132),1)</f>
        <v>1</v>
      </c>
      <c r="R132" s="2" t="str">
        <f>MID(HEX2BIN($M132,8),COLUMNS($M132:Q132),1)</f>
        <v>1</v>
      </c>
      <c r="S132" s="2" t="str">
        <f>MID(HEX2BIN($M132,8),COLUMNS($M132:R132),1)</f>
        <v>1</v>
      </c>
      <c r="T132" s="2" t="str">
        <f>MID(HEX2BIN($M132,8),COLUMNS($M132:S132),1)</f>
        <v>1</v>
      </c>
      <c r="U132" s="5" t="str">
        <f>MID(HEX2BIN($M132,8),COLUMNS($M132:T132),1)</f>
        <v>0</v>
      </c>
    </row>
    <row r="133" spans="10:21" x14ac:dyDescent="0.25">
      <c r="J133" s="64"/>
      <c r="K133" s="32"/>
      <c r="M133" s="3" t="str">
        <f t="shared" si="4"/>
        <v>7F</v>
      </c>
      <c r="N133" s="2" t="str">
        <f>MID(HEX2BIN($M133,8),COLUMNS($M133:M133),1)</f>
        <v>0</v>
      </c>
      <c r="O133" s="2" t="str">
        <f>MID(HEX2BIN($M133,8),COLUMNS($M133:N133),1)</f>
        <v>1</v>
      </c>
      <c r="P133" s="2" t="str">
        <f>MID(HEX2BIN($M133,8),COLUMNS($M133:O133),1)</f>
        <v>1</v>
      </c>
      <c r="Q133" s="2" t="str">
        <f>MID(HEX2BIN($M133,8),COLUMNS($M133:P133),1)</f>
        <v>1</v>
      </c>
      <c r="R133" s="2" t="str">
        <f>MID(HEX2BIN($M133,8),COLUMNS($M133:Q133),1)</f>
        <v>1</v>
      </c>
      <c r="S133" s="2" t="str">
        <f>MID(HEX2BIN($M133,8),COLUMNS($M133:R133),1)</f>
        <v>1</v>
      </c>
      <c r="T133" s="2" t="str">
        <f>MID(HEX2BIN($M133,8),COLUMNS($M133:S133),1)</f>
        <v>1</v>
      </c>
      <c r="U133" s="5" t="str">
        <f>MID(HEX2BIN($M133,8),COLUMNS($M133:T133),1)</f>
        <v>1</v>
      </c>
    </row>
    <row r="134" spans="10:21" x14ac:dyDescent="0.25">
      <c r="J134" s="64"/>
      <c r="K134" s="32"/>
      <c r="M134" s="3" t="str">
        <f t="shared" ref="M134:M197" si="5">DEC2HEX(ROW()-$B$1,2)</f>
        <v>80</v>
      </c>
      <c r="N134" s="2" t="str">
        <f>MID(HEX2BIN($M134,8),COLUMNS($M134:M134),1)</f>
        <v>1</v>
      </c>
      <c r="O134" s="2" t="str">
        <f>MID(HEX2BIN($M134,8),COLUMNS($M134:N134),1)</f>
        <v>0</v>
      </c>
      <c r="P134" s="2" t="str">
        <f>MID(HEX2BIN($M134,8),COLUMNS($M134:O134),1)</f>
        <v>0</v>
      </c>
      <c r="Q134" s="2" t="str">
        <f>MID(HEX2BIN($M134,8),COLUMNS($M134:P134),1)</f>
        <v>0</v>
      </c>
      <c r="R134" s="2" t="str">
        <f>MID(HEX2BIN($M134,8),COLUMNS($M134:Q134),1)</f>
        <v>0</v>
      </c>
      <c r="S134" s="2" t="str">
        <f>MID(HEX2BIN($M134,8),COLUMNS($M134:R134),1)</f>
        <v>0</v>
      </c>
      <c r="T134" s="2" t="str">
        <f>MID(HEX2BIN($M134,8),COLUMNS($M134:S134),1)</f>
        <v>0</v>
      </c>
      <c r="U134" s="5" t="str">
        <f>MID(HEX2BIN($M134,8),COLUMNS($M134:T134),1)</f>
        <v>0</v>
      </c>
    </row>
    <row r="135" spans="10:21" x14ac:dyDescent="0.25">
      <c r="J135" s="64"/>
      <c r="K135" s="32"/>
      <c r="M135" s="3" t="str">
        <f t="shared" si="5"/>
        <v>81</v>
      </c>
      <c r="N135" s="2" t="str">
        <f>MID(HEX2BIN($M135,8),COLUMNS($M135:M135),1)</f>
        <v>1</v>
      </c>
      <c r="O135" s="2" t="str">
        <f>MID(HEX2BIN($M135,8),COLUMNS($M135:N135),1)</f>
        <v>0</v>
      </c>
      <c r="P135" s="2" t="str">
        <f>MID(HEX2BIN($M135,8),COLUMNS($M135:O135),1)</f>
        <v>0</v>
      </c>
      <c r="Q135" s="2" t="str">
        <f>MID(HEX2BIN($M135,8),COLUMNS($M135:P135),1)</f>
        <v>0</v>
      </c>
      <c r="R135" s="2" t="str">
        <f>MID(HEX2BIN($M135,8),COLUMNS($M135:Q135),1)</f>
        <v>0</v>
      </c>
      <c r="S135" s="2" t="str">
        <f>MID(HEX2BIN($M135,8),COLUMNS($M135:R135),1)</f>
        <v>0</v>
      </c>
      <c r="T135" s="2" t="str">
        <f>MID(HEX2BIN($M135,8),COLUMNS($M135:S135),1)</f>
        <v>0</v>
      </c>
      <c r="U135" s="5" t="str">
        <f>MID(HEX2BIN($M135,8),COLUMNS($M135:T135),1)</f>
        <v>1</v>
      </c>
    </row>
    <row r="136" spans="10:21" x14ac:dyDescent="0.25">
      <c r="J136" s="64"/>
      <c r="K136" s="32"/>
      <c r="M136" s="3" t="str">
        <f t="shared" si="5"/>
        <v>82</v>
      </c>
      <c r="N136" s="2" t="str">
        <f>MID(HEX2BIN($M136,8),COLUMNS($M136:M136),1)</f>
        <v>1</v>
      </c>
      <c r="O136" s="2" t="str">
        <f>MID(HEX2BIN($M136,8),COLUMNS($M136:N136),1)</f>
        <v>0</v>
      </c>
      <c r="P136" s="2" t="str">
        <f>MID(HEX2BIN($M136,8),COLUMNS($M136:O136),1)</f>
        <v>0</v>
      </c>
      <c r="Q136" s="2" t="str">
        <f>MID(HEX2BIN($M136,8),COLUMNS($M136:P136),1)</f>
        <v>0</v>
      </c>
      <c r="R136" s="2" t="str">
        <f>MID(HEX2BIN($M136,8),COLUMNS($M136:Q136),1)</f>
        <v>0</v>
      </c>
      <c r="S136" s="2" t="str">
        <f>MID(HEX2BIN($M136,8),COLUMNS($M136:R136),1)</f>
        <v>0</v>
      </c>
      <c r="T136" s="2" t="str">
        <f>MID(HEX2BIN($M136,8),COLUMNS($M136:S136),1)</f>
        <v>1</v>
      </c>
      <c r="U136" s="5" t="str">
        <f>MID(HEX2BIN($M136,8),COLUMNS($M136:T136),1)</f>
        <v>0</v>
      </c>
    </row>
    <row r="137" spans="10:21" x14ac:dyDescent="0.25">
      <c r="J137" s="64"/>
      <c r="K137" s="32"/>
      <c r="M137" s="3" t="str">
        <f t="shared" si="5"/>
        <v>83</v>
      </c>
      <c r="N137" s="2" t="str">
        <f>MID(HEX2BIN($M137,8),COLUMNS($M137:M137),1)</f>
        <v>1</v>
      </c>
      <c r="O137" s="2" t="str">
        <f>MID(HEX2BIN($M137,8),COLUMNS($M137:N137),1)</f>
        <v>0</v>
      </c>
      <c r="P137" s="2" t="str">
        <f>MID(HEX2BIN($M137,8),COLUMNS($M137:O137),1)</f>
        <v>0</v>
      </c>
      <c r="Q137" s="2" t="str">
        <f>MID(HEX2BIN($M137,8),COLUMNS($M137:P137),1)</f>
        <v>0</v>
      </c>
      <c r="R137" s="2" t="str">
        <f>MID(HEX2BIN($M137,8),COLUMNS($M137:Q137),1)</f>
        <v>0</v>
      </c>
      <c r="S137" s="2" t="str">
        <f>MID(HEX2BIN($M137,8),COLUMNS($M137:R137),1)</f>
        <v>0</v>
      </c>
      <c r="T137" s="2" t="str">
        <f>MID(HEX2BIN($M137,8),COLUMNS($M137:S137),1)</f>
        <v>1</v>
      </c>
      <c r="U137" s="5" t="str">
        <f>MID(HEX2BIN($M137,8),COLUMNS($M137:T137),1)</f>
        <v>1</v>
      </c>
    </row>
    <row r="138" spans="10:21" x14ac:dyDescent="0.25">
      <c r="J138" s="64"/>
      <c r="K138" s="32"/>
      <c r="M138" s="3" t="str">
        <f t="shared" si="5"/>
        <v>84</v>
      </c>
      <c r="N138" s="2" t="str">
        <f>MID(HEX2BIN($M138,8),COLUMNS($M138:M138),1)</f>
        <v>1</v>
      </c>
      <c r="O138" s="2" t="str">
        <f>MID(HEX2BIN($M138,8),COLUMNS($M138:N138),1)</f>
        <v>0</v>
      </c>
      <c r="P138" s="2" t="str">
        <f>MID(HEX2BIN($M138,8),COLUMNS($M138:O138),1)</f>
        <v>0</v>
      </c>
      <c r="Q138" s="2" t="str">
        <f>MID(HEX2BIN($M138,8),COLUMNS($M138:P138),1)</f>
        <v>0</v>
      </c>
      <c r="R138" s="2" t="str">
        <f>MID(HEX2BIN($M138,8),COLUMNS($M138:Q138),1)</f>
        <v>0</v>
      </c>
      <c r="S138" s="2" t="str">
        <f>MID(HEX2BIN($M138,8),COLUMNS($M138:R138),1)</f>
        <v>1</v>
      </c>
      <c r="T138" s="2" t="str">
        <f>MID(HEX2BIN($M138,8),COLUMNS($M138:S138),1)</f>
        <v>0</v>
      </c>
      <c r="U138" s="5" t="str">
        <f>MID(HEX2BIN($M138,8),COLUMNS($M138:T138),1)</f>
        <v>0</v>
      </c>
    </row>
    <row r="139" spans="10:21" x14ac:dyDescent="0.25">
      <c r="J139" s="64"/>
      <c r="K139" s="32"/>
      <c r="M139" s="3" t="str">
        <f t="shared" si="5"/>
        <v>85</v>
      </c>
      <c r="N139" s="2" t="str">
        <f>MID(HEX2BIN($M139,8),COLUMNS($M139:M139),1)</f>
        <v>1</v>
      </c>
      <c r="O139" s="2" t="str">
        <f>MID(HEX2BIN($M139,8),COLUMNS($M139:N139),1)</f>
        <v>0</v>
      </c>
      <c r="P139" s="2" t="str">
        <f>MID(HEX2BIN($M139,8),COLUMNS($M139:O139),1)</f>
        <v>0</v>
      </c>
      <c r="Q139" s="2" t="str">
        <f>MID(HEX2BIN($M139,8),COLUMNS($M139:P139),1)</f>
        <v>0</v>
      </c>
      <c r="R139" s="2" t="str">
        <f>MID(HEX2BIN($M139,8),COLUMNS($M139:Q139),1)</f>
        <v>0</v>
      </c>
      <c r="S139" s="2" t="str">
        <f>MID(HEX2BIN($M139,8),COLUMNS($M139:R139),1)</f>
        <v>1</v>
      </c>
      <c r="T139" s="2" t="str">
        <f>MID(HEX2BIN($M139,8),COLUMNS($M139:S139),1)</f>
        <v>0</v>
      </c>
      <c r="U139" s="5" t="str">
        <f>MID(HEX2BIN($M139,8),COLUMNS($M139:T139),1)</f>
        <v>1</v>
      </c>
    </row>
    <row r="140" spans="10:21" x14ac:dyDescent="0.25">
      <c r="J140" s="64"/>
      <c r="K140" s="32"/>
      <c r="M140" s="3" t="str">
        <f t="shared" si="5"/>
        <v>86</v>
      </c>
      <c r="N140" s="2" t="str">
        <f>MID(HEX2BIN($M140,8),COLUMNS($M140:M140),1)</f>
        <v>1</v>
      </c>
      <c r="O140" s="2" t="str">
        <f>MID(HEX2BIN($M140,8),COLUMNS($M140:N140),1)</f>
        <v>0</v>
      </c>
      <c r="P140" s="2" t="str">
        <f>MID(HEX2BIN($M140,8),COLUMNS($M140:O140),1)</f>
        <v>0</v>
      </c>
      <c r="Q140" s="2" t="str">
        <f>MID(HEX2BIN($M140,8),COLUMNS($M140:P140),1)</f>
        <v>0</v>
      </c>
      <c r="R140" s="2" t="str">
        <f>MID(HEX2BIN($M140,8),COLUMNS($M140:Q140),1)</f>
        <v>0</v>
      </c>
      <c r="S140" s="2" t="str">
        <f>MID(HEX2BIN($M140,8),COLUMNS($M140:R140),1)</f>
        <v>1</v>
      </c>
      <c r="T140" s="2" t="str">
        <f>MID(HEX2BIN($M140,8),COLUMNS($M140:S140),1)</f>
        <v>1</v>
      </c>
      <c r="U140" s="5" t="str">
        <f>MID(HEX2BIN($M140,8),COLUMNS($M140:T140),1)</f>
        <v>0</v>
      </c>
    </row>
    <row r="141" spans="10:21" x14ac:dyDescent="0.25">
      <c r="J141" s="64"/>
      <c r="K141" s="32"/>
      <c r="M141" s="3" t="str">
        <f t="shared" si="5"/>
        <v>87</v>
      </c>
      <c r="N141" s="2" t="str">
        <f>MID(HEX2BIN($M141,8),COLUMNS($M141:M141),1)</f>
        <v>1</v>
      </c>
      <c r="O141" s="2" t="str">
        <f>MID(HEX2BIN($M141,8),COLUMNS($M141:N141),1)</f>
        <v>0</v>
      </c>
      <c r="P141" s="2" t="str">
        <f>MID(HEX2BIN($M141,8),COLUMNS($M141:O141),1)</f>
        <v>0</v>
      </c>
      <c r="Q141" s="2" t="str">
        <f>MID(HEX2BIN($M141,8),COLUMNS($M141:P141),1)</f>
        <v>0</v>
      </c>
      <c r="R141" s="2" t="str">
        <f>MID(HEX2BIN($M141,8),COLUMNS($M141:Q141),1)</f>
        <v>0</v>
      </c>
      <c r="S141" s="2" t="str">
        <f>MID(HEX2BIN($M141,8),COLUMNS($M141:R141),1)</f>
        <v>1</v>
      </c>
      <c r="T141" s="2" t="str">
        <f>MID(HEX2BIN($M141,8),COLUMNS($M141:S141),1)</f>
        <v>1</v>
      </c>
      <c r="U141" s="5" t="str">
        <f>MID(HEX2BIN($M141,8),COLUMNS($M141:T141),1)</f>
        <v>1</v>
      </c>
    </row>
    <row r="142" spans="10:21" x14ac:dyDescent="0.25">
      <c r="J142" s="64"/>
      <c r="K142" s="32"/>
      <c r="M142" s="3" t="str">
        <f t="shared" si="5"/>
        <v>88</v>
      </c>
      <c r="N142" s="2" t="str">
        <f>MID(HEX2BIN($M142,8),COLUMNS($M142:M142),1)</f>
        <v>1</v>
      </c>
      <c r="O142" s="2" t="str">
        <f>MID(HEX2BIN($M142,8),COLUMNS($M142:N142),1)</f>
        <v>0</v>
      </c>
      <c r="P142" s="2" t="str">
        <f>MID(HEX2BIN($M142,8),COLUMNS($M142:O142),1)</f>
        <v>0</v>
      </c>
      <c r="Q142" s="2" t="str">
        <f>MID(HEX2BIN($M142,8),COLUMNS($M142:P142),1)</f>
        <v>0</v>
      </c>
      <c r="R142" s="2" t="str">
        <f>MID(HEX2BIN($M142,8),COLUMNS($M142:Q142),1)</f>
        <v>1</v>
      </c>
      <c r="S142" s="2" t="str">
        <f>MID(HEX2BIN($M142,8),COLUMNS($M142:R142),1)</f>
        <v>0</v>
      </c>
      <c r="T142" s="2" t="str">
        <f>MID(HEX2BIN($M142,8),COLUMNS($M142:S142),1)</f>
        <v>0</v>
      </c>
      <c r="U142" s="5" t="str">
        <f>MID(HEX2BIN($M142,8),COLUMNS($M142:T142),1)</f>
        <v>0</v>
      </c>
    </row>
    <row r="143" spans="10:21" x14ac:dyDescent="0.25">
      <c r="J143" s="64"/>
      <c r="K143" s="32"/>
      <c r="M143" s="3" t="str">
        <f t="shared" si="5"/>
        <v>89</v>
      </c>
      <c r="N143" s="2" t="str">
        <f>MID(HEX2BIN($M143,8),COLUMNS($M143:M143),1)</f>
        <v>1</v>
      </c>
      <c r="O143" s="2" t="str">
        <f>MID(HEX2BIN($M143,8),COLUMNS($M143:N143),1)</f>
        <v>0</v>
      </c>
      <c r="P143" s="2" t="str">
        <f>MID(HEX2BIN($M143,8),COLUMNS($M143:O143),1)</f>
        <v>0</v>
      </c>
      <c r="Q143" s="2" t="str">
        <f>MID(HEX2BIN($M143,8),COLUMNS($M143:P143),1)</f>
        <v>0</v>
      </c>
      <c r="R143" s="2" t="str">
        <f>MID(HEX2BIN($M143,8),COLUMNS($M143:Q143),1)</f>
        <v>1</v>
      </c>
      <c r="S143" s="2" t="str">
        <f>MID(HEX2BIN($M143,8),COLUMNS($M143:R143),1)</f>
        <v>0</v>
      </c>
      <c r="T143" s="2" t="str">
        <f>MID(HEX2BIN($M143,8),COLUMNS($M143:S143),1)</f>
        <v>0</v>
      </c>
      <c r="U143" s="5" t="str">
        <f>MID(HEX2BIN($M143,8),COLUMNS($M143:T143),1)</f>
        <v>1</v>
      </c>
    </row>
    <row r="144" spans="10:21" x14ac:dyDescent="0.25">
      <c r="J144" s="64"/>
      <c r="K144" s="32"/>
      <c r="M144" s="3" t="str">
        <f t="shared" si="5"/>
        <v>8A</v>
      </c>
      <c r="N144" s="2" t="str">
        <f>MID(HEX2BIN($M144,8),COLUMNS($M144:M144),1)</f>
        <v>1</v>
      </c>
      <c r="O144" s="2" t="str">
        <f>MID(HEX2BIN($M144,8),COLUMNS($M144:N144),1)</f>
        <v>0</v>
      </c>
      <c r="P144" s="2" t="str">
        <f>MID(HEX2BIN($M144,8),COLUMNS($M144:O144),1)</f>
        <v>0</v>
      </c>
      <c r="Q144" s="2" t="str">
        <f>MID(HEX2BIN($M144,8),COLUMNS($M144:P144),1)</f>
        <v>0</v>
      </c>
      <c r="R144" s="2" t="str">
        <f>MID(HEX2BIN($M144,8),COLUMNS($M144:Q144),1)</f>
        <v>1</v>
      </c>
      <c r="S144" s="2" t="str">
        <f>MID(HEX2BIN($M144,8),COLUMNS($M144:R144),1)</f>
        <v>0</v>
      </c>
      <c r="T144" s="2" t="str">
        <f>MID(HEX2BIN($M144,8),COLUMNS($M144:S144),1)</f>
        <v>1</v>
      </c>
      <c r="U144" s="5" t="str">
        <f>MID(HEX2BIN($M144,8),COLUMNS($M144:T144),1)</f>
        <v>0</v>
      </c>
    </row>
    <row r="145" spans="10:21" x14ac:dyDescent="0.25">
      <c r="J145" s="64"/>
      <c r="K145" s="32"/>
      <c r="M145" s="3" t="str">
        <f t="shared" si="5"/>
        <v>8B</v>
      </c>
      <c r="N145" s="2" t="str">
        <f>MID(HEX2BIN($M145,8),COLUMNS($M145:M145),1)</f>
        <v>1</v>
      </c>
      <c r="O145" s="2" t="str">
        <f>MID(HEX2BIN($M145,8),COLUMNS($M145:N145),1)</f>
        <v>0</v>
      </c>
      <c r="P145" s="2" t="str">
        <f>MID(HEX2BIN($M145,8),COLUMNS($M145:O145),1)</f>
        <v>0</v>
      </c>
      <c r="Q145" s="2" t="str">
        <f>MID(HEX2BIN($M145,8),COLUMNS($M145:P145),1)</f>
        <v>0</v>
      </c>
      <c r="R145" s="2" t="str">
        <f>MID(HEX2BIN($M145,8),COLUMNS($M145:Q145),1)</f>
        <v>1</v>
      </c>
      <c r="S145" s="2" t="str">
        <f>MID(HEX2BIN($M145,8),COLUMNS($M145:R145),1)</f>
        <v>0</v>
      </c>
      <c r="T145" s="2" t="str">
        <f>MID(HEX2BIN($M145,8),COLUMNS($M145:S145),1)</f>
        <v>1</v>
      </c>
      <c r="U145" s="5" t="str">
        <f>MID(HEX2BIN($M145,8),COLUMNS($M145:T145),1)</f>
        <v>1</v>
      </c>
    </row>
    <row r="146" spans="10:21" x14ac:dyDescent="0.25">
      <c r="J146" s="64"/>
      <c r="K146" s="32"/>
      <c r="M146" s="3" t="str">
        <f t="shared" si="5"/>
        <v>8C</v>
      </c>
      <c r="N146" s="2" t="str">
        <f>MID(HEX2BIN($M146,8),COLUMNS($M146:M146),1)</f>
        <v>1</v>
      </c>
      <c r="O146" s="2" t="str">
        <f>MID(HEX2BIN($M146,8),COLUMNS($M146:N146),1)</f>
        <v>0</v>
      </c>
      <c r="P146" s="2" t="str">
        <f>MID(HEX2BIN($M146,8),COLUMNS($M146:O146),1)</f>
        <v>0</v>
      </c>
      <c r="Q146" s="2" t="str">
        <f>MID(HEX2BIN($M146,8),COLUMNS($M146:P146),1)</f>
        <v>0</v>
      </c>
      <c r="R146" s="2" t="str">
        <f>MID(HEX2BIN($M146,8),COLUMNS($M146:Q146),1)</f>
        <v>1</v>
      </c>
      <c r="S146" s="2" t="str">
        <f>MID(HEX2BIN($M146,8),COLUMNS($M146:R146),1)</f>
        <v>1</v>
      </c>
      <c r="T146" s="2" t="str">
        <f>MID(HEX2BIN($M146,8),COLUMNS($M146:S146),1)</f>
        <v>0</v>
      </c>
      <c r="U146" s="5" t="str">
        <f>MID(HEX2BIN($M146,8),COLUMNS($M146:T146),1)</f>
        <v>0</v>
      </c>
    </row>
    <row r="147" spans="10:21" x14ac:dyDescent="0.25">
      <c r="J147" s="64"/>
      <c r="K147" s="32"/>
      <c r="M147" s="3" t="str">
        <f t="shared" si="5"/>
        <v>8D</v>
      </c>
      <c r="N147" s="2" t="str">
        <f>MID(HEX2BIN($M147,8),COLUMNS($M147:M147),1)</f>
        <v>1</v>
      </c>
      <c r="O147" s="2" t="str">
        <f>MID(HEX2BIN($M147,8),COLUMNS($M147:N147),1)</f>
        <v>0</v>
      </c>
      <c r="P147" s="2" t="str">
        <f>MID(HEX2BIN($M147,8),COLUMNS($M147:O147),1)</f>
        <v>0</v>
      </c>
      <c r="Q147" s="2" t="str">
        <f>MID(HEX2BIN($M147,8),COLUMNS($M147:P147),1)</f>
        <v>0</v>
      </c>
      <c r="R147" s="2" t="str">
        <f>MID(HEX2BIN($M147,8),COLUMNS($M147:Q147),1)</f>
        <v>1</v>
      </c>
      <c r="S147" s="2" t="str">
        <f>MID(HEX2BIN($M147,8),COLUMNS($M147:R147),1)</f>
        <v>1</v>
      </c>
      <c r="T147" s="2" t="str">
        <f>MID(HEX2BIN($M147,8),COLUMNS($M147:S147),1)</f>
        <v>0</v>
      </c>
      <c r="U147" s="5" t="str">
        <f>MID(HEX2BIN($M147,8),COLUMNS($M147:T147),1)</f>
        <v>1</v>
      </c>
    </row>
    <row r="148" spans="10:21" x14ac:dyDescent="0.25">
      <c r="J148" s="64"/>
      <c r="K148" s="32"/>
      <c r="M148" s="3" t="str">
        <f t="shared" si="5"/>
        <v>8E</v>
      </c>
      <c r="N148" s="2" t="str">
        <f>MID(HEX2BIN($M148,8),COLUMNS($M148:M148),1)</f>
        <v>1</v>
      </c>
      <c r="O148" s="2" t="str">
        <f>MID(HEX2BIN($M148,8),COLUMNS($M148:N148),1)</f>
        <v>0</v>
      </c>
      <c r="P148" s="2" t="str">
        <f>MID(HEX2BIN($M148,8),COLUMNS($M148:O148),1)</f>
        <v>0</v>
      </c>
      <c r="Q148" s="2" t="str">
        <f>MID(HEX2BIN($M148,8),COLUMNS($M148:P148),1)</f>
        <v>0</v>
      </c>
      <c r="R148" s="2" t="str">
        <f>MID(HEX2BIN($M148,8),COLUMNS($M148:Q148),1)</f>
        <v>1</v>
      </c>
      <c r="S148" s="2" t="str">
        <f>MID(HEX2BIN($M148,8),COLUMNS($M148:R148),1)</f>
        <v>1</v>
      </c>
      <c r="T148" s="2" t="str">
        <f>MID(HEX2BIN($M148,8),COLUMNS($M148:S148),1)</f>
        <v>1</v>
      </c>
      <c r="U148" s="5" t="str">
        <f>MID(HEX2BIN($M148,8),COLUMNS($M148:T148),1)</f>
        <v>0</v>
      </c>
    </row>
    <row r="149" spans="10:21" x14ac:dyDescent="0.25">
      <c r="J149" s="64"/>
      <c r="K149" s="32"/>
      <c r="M149" s="3" t="str">
        <f t="shared" si="5"/>
        <v>8F</v>
      </c>
      <c r="N149" s="2" t="str">
        <f>MID(HEX2BIN($M149,8),COLUMNS($M149:M149),1)</f>
        <v>1</v>
      </c>
      <c r="O149" s="2" t="str">
        <f>MID(HEX2BIN($M149,8),COLUMNS($M149:N149),1)</f>
        <v>0</v>
      </c>
      <c r="P149" s="2" t="str">
        <f>MID(HEX2BIN($M149,8),COLUMNS($M149:O149),1)</f>
        <v>0</v>
      </c>
      <c r="Q149" s="2" t="str">
        <f>MID(HEX2BIN($M149,8),COLUMNS($M149:P149),1)</f>
        <v>0</v>
      </c>
      <c r="R149" s="2" t="str">
        <f>MID(HEX2BIN($M149,8),COLUMNS($M149:Q149),1)</f>
        <v>1</v>
      </c>
      <c r="S149" s="2" t="str">
        <f>MID(HEX2BIN($M149,8),COLUMNS($M149:R149),1)</f>
        <v>1</v>
      </c>
      <c r="T149" s="2" t="str">
        <f>MID(HEX2BIN($M149,8),COLUMNS($M149:S149),1)</f>
        <v>1</v>
      </c>
      <c r="U149" s="5" t="str">
        <f>MID(HEX2BIN($M149,8),COLUMNS($M149:T149),1)</f>
        <v>1</v>
      </c>
    </row>
    <row r="150" spans="10:21" x14ac:dyDescent="0.25">
      <c r="J150" s="64"/>
      <c r="K150" s="32"/>
      <c r="M150" s="3" t="str">
        <f t="shared" si="5"/>
        <v>90</v>
      </c>
      <c r="N150" s="2" t="str">
        <f>MID(HEX2BIN($M150,8),COLUMNS($M150:M150),1)</f>
        <v>1</v>
      </c>
      <c r="O150" s="2" t="str">
        <f>MID(HEX2BIN($M150,8),COLUMNS($M150:N150),1)</f>
        <v>0</v>
      </c>
      <c r="P150" s="2" t="str">
        <f>MID(HEX2BIN($M150,8),COLUMNS($M150:O150),1)</f>
        <v>0</v>
      </c>
      <c r="Q150" s="2" t="str">
        <f>MID(HEX2BIN($M150,8),COLUMNS($M150:P150),1)</f>
        <v>1</v>
      </c>
      <c r="R150" s="2" t="str">
        <f>MID(HEX2BIN($M150,8),COLUMNS($M150:Q150),1)</f>
        <v>0</v>
      </c>
      <c r="S150" s="2" t="str">
        <f>MID(HEX2BIN($M150,8),COLUMNS($M150:R150),1)</f>
        <v>0</v>
      </c>
      <c r="T150" s="2" t="str">
        <f>MID(HEX2BIN($M150,8),COLUMNS($M150:S150),1)</f>
        <v>0</v>
      </c>
      <c r="U150" s="5" t="str">
        <f>MID(HEX2BIN($M150,8),COLUMNS($M150:T150),1)</f>
        <v>0</v>
      </c>
    </row>
    <row r="151" spans="10:21" x14ac:dyDescent="0.25">
      <c r="J151" s="64"/>
      <c r="K151" s="32"/>
      <c r="M151" s="3" t="str">
        <f t="shared" si="5"/>
        <v>91</v>
      </c>
      <c r="N151" s="2" t="str">
        <f>MID(HEX2BIN($M151,8),COLUMNS($M151:M151),1)</f>
        <v>1</v>
      </c>
      <c r="O151" s="2" t="str">
        <f>MID(HEX2BIN($M151,8),COLUMNS($M151:N151),1)</f>
        <v>0</v>
      </c>
      <c r="P151" s="2" t="str">
        <f>MID(HEX2BIN($M151,8),COLUMNS($M151:O151),1)</f>
        <v>0</v>
      </c>
      <c r="Q151" s="2" t="str">
        <f>MID(HEX2BIN($M151,8),COLUMNS($M151:P151),1)</f>
        <v>1</v>
      </c>
      <c r="R151" s="2" t="str">
        <f>MID(HEX2BIN($M151,8),COLUMNS($M151:Q151),1)</f>
        <v>0</v>
      </c>
      <c r="S151" s="2" t="str">
        <f>MID(HEX2BIN($M151,8),COLUMNS($M151:R151),1)</f>
        <v>0</v>
      </c>
      <c r="T151" s="2" t="str">
        <f>MID(HEX2BIN($M151,8),COLUMNS($M151:S151),1)</f>
        <v>0</v>
      </c>
      <c r="U151" s="5" t="str">
        <f>MID(HEX2BIN($M151,8),COLUMNS($M151:T151),1)</f>
        <v>1</v>
      </c>
    </row>
    <row r="152" spans="10:21" x14ac:dyDescent="0.25">
      <c r="J152" s="64"/>
      <c r="K152" s="32"/>
      <c r="M152" s="3" t="str">
        <f t="shared" si="5"/>
        <v>92</v>
      </c>
      <c r="N152" s="2" t="str">
        <f>MID(HEX2BIN($M152,8),COLUMNS($M152:M152),1)</f>
        <v>1</v>
      </c>
      <c r="O152" s="2" t="str">
        <f>MID(HEX2BIN($M152,8),COLUMNS($M152:N152),1)</f>
        <v>0</v>
      </c>
      <c r="P152" s="2" t="str">
        <f>MID(HEX2BIN($M152,8),COLUMNS($M152:O152),1)</f>
        <v>0</v>
      </c>
      <c r="Q152" s="2" t="str">
        <f>MID(HEX2BIN($M152,8),COLUMNS($M152:P152),1)</f>
        <v>1</v>
      </c>
      <c r="R152" s="2" t="str">
        <f>MID(HEX2BIN($M152,8),COLUMNS($M152:Q152),1)</f>
        <v>0</v>
      </c>
      <c r="S152" s="2" t="str">
        <f>MID(HEX2BIN($M152,8),COLUMNS($M152:R152),1)</f>
        <v>0</v>
      </c>
      <c r="T152" s="2" t="str">
        <f>MID(HEX2BIN($M152,8),COLUMNS($M152:S152),1)</f>
        <v>1</v>
      </c>
      <c r="U152" s="5" t="str">
        <f>MID(HEX2BIN($M152,8),COLUMNS($M152:T152),1)</f>
        <v>0</v>
      </c>
    </row>
    <row r="153" spans="10:21" x14ac:dyDescent="0.25">
      <c r="J153" s="64"/>
      <c r="K153" s="32"/>
      <c r="M153" s="3" t="str">
        <f t="shared" si="5"/>
        <v>93</v>
      </c>
      <c r="N153" s="2" t="str">
        <f>MID(HEX2BIN($M153,8),COLUMNS($M153:M153),1)</f>
        <v>1</v>
      </c>
      <c r="O153" s="2" t="str">
        <f>MID(HEX2BIN($M153,8),COLUMNS($M153:N153),1)</f>
        <v>0</v>
      </c>
      <c r="P153" s="2" t="str">
        <f>MID(HEX2BIN($M153,8),COLUMNS($M153:O153),1)</f>
        <v>0</v>
      </c>
      <c r="Q153" s="2" t="str">
        <f>MID(HEX2BIN($M153,8),COLUMNS($M153:P153),1)</f>
        <v>1</v>
      </c>
      <c r="R153" s="2" t="str">
        <f>MID(HEX2BIN($M153,8),COLUMNS($M153:Q153),1)</f>
        <v>0</v>
      </c>
      <c r="S153" s="2" t="str">
        <f>MID(HEX2BIN($M153,8),COLUMNS($M153:R153),1)</f>
        <v>0</v>
      </c>
      <c r="T153" s="2" t="str">
        <f>MID(HEX2BIN($M153,8),COLUMNS($M153:S153),1)</f>
        <v>1</v>
      </c>
      <c r="U153" s="5" t="str">
        <f>MID(HEX2BIN($M153,8),COLUMNS($M153:T153),1)</f>
        <v>1</v>
      </c>
    </row>
    <row r="154" spans="10:21" x14ac:dyDescent="0.25">
      <c r="J154" s="64"/>
      <c r="K154" s="32"/>
      <c r="M154" s="3" t="str">
        <f t="shared" si="5"/>
        <v>94</v>
      </c>
      <c r="N154" s="2" t="str">
        <f>MID(HEX2BIN($M154,8),COLUMNS($M154:M154),1)</f>
        <v>1</v>
      </c>
      <c r="O154" s="2" t="str">
        <f>MID(HEX2BIN($M154,8),COLUMNS($M154:N154),1)</f>
        <v>0</v>
      </c>
      <c r="P154" s="2" t="str">
        <f>MID(HEX2BIN($M154,8),COLUMNS($M154:O154),1)</f>
        <v>0</v>
      </c>
      <c r="Q154" s="2" t="str">
        <f>MID(HEX2BIN($M154,8),COLUMNS($M154:P154),1)</f>
        <v>1</v>
      </c>
      <c r="R154" s="2" t="str">
        <f>MID(HEX2BIN($M154,8),COLUMNS($M154:Q154),1)</f>
        <v>0</v>
      </c>
      <c r="S154" s="2" t="str">
        <f>MID(HEX2BIN($M154,8),COLUMNS($M154:R154),1)</f>
        <v>1</v>
      </c>
      <c r="T154" s="2" t="str">
        <f>MID(HEX2BIN($M154,8),COLUMNS($M154:S154),1)</f>
        <v>0</v>
      </c>
      <c r="U154" s="5" t="str">
        <f>MID(HEX2BIN($M154,8),COLUMNS($M154:T154),1)</f>
        <v>0</v>
      </c>
    </row>
    <row r="155" spans="10:21" x14ac:dyDescent="0.25">
      <c r="J155" s="64"/>
      <c r="K155" s="32"/>
      <c r="M155" s="3" t="str">
        <f t="shared" si="5"/>
        <v>95</v>
      </c>
      <c r="N155" s="2" t="str">
        <f>MID(HEX2BIN($M155,8),COLUMNS($M155:M155),1)</f>
        <v>1</v>
      </c>
      <c r="O155" s="2" t="str">
        <f>MID(HEX2BIN($M155,8),COLUMNS($M155:N155),1)</f>
        <v>0</v>
      </c>
      <c r="P155" s="2" t="str">
        <f>MID(HEX2BIN($M155,8),COLUMNS($M155:O155),1)</f>
        <v>0</v>
      </c>
      <c r="Q155" s="2" t="str">
        <f>MID(HEX2BIN($M155,8),COLUMNS($M155:P155),1)</f>
        <v>1</v>
      </c>
      <c r="R155" s="2" t="str">
        <f>MID(HEX2BIN($M155,8),COLUMNS($M155:Q155),1)</f>
        <v>0</v>
      </c>
      <c r="S155" s="2" t="str">
        <f>MID(HEX2BIN($M155,8),COLUMNS($M155:R155),1)</f>
        <v>1</v>
      </c>
      <c r="T155" s="2" t="str">
        <f>MID(HEX2BIN($M155,8),COLUMNS($M155:S155),1)</f>
        <v>0</v>
      </c>
      <c r="U155" s="5" t="str">
        <f>MID(HEX2BIN($M155,8),COLUMNS($M155:T155),1)</f>
        <v>1</v>
      </c>
    </row>
    <row r="156" spans="10:21" x14ac:dyDescent="0.25">
      <c r="J156" s="64"/>
      <c r="K156" s="32"/>
      <c r="M156" s="3" t="str">
        <f t="shared" si="5"/>
        <v>96</v>
      </c>
      <c r="N156" s="2" t="str">
        <f>MID(HEX2BIN($M156,8),COLUMNS($M156:M156),1)</f>
        <v>1</v>
      </c>
      <c r="O156" s="2" t="str">
        <f>MID(HEX2BIN($M156,8),COLUMNS($M156:N156),1)</f>
        <v>0</v>
      </c>
      <c r="P156" s="2" t="str">
        <f>MID(HEX2BIN($M156,8),COLUMNS($M156:O156),1)</f>
        <v>0</v>
      </c>
      <c r="Q156" s="2" t="str">
        <f>MID(HEX2BIN($M156,8),COLUMNS($M156:P156),1)</f>
        <v>1</v>
      </c>
      <c r="R156" s="2" t="str">
        <f>MID(HEX2BIN($M156,8),COLUMNS($M156:Q156),1)</f>
        <v>0</v>
      </c>
      <c r="S156" s="2" t="str">
        <f>MID(HEX2BIN($M156,8),COLUMNS($M156:R156),1)</f>
        <v>1</v>
      </c>
      <c r="T156" s="2" t="str">
        <f>MID(HEX2BIN($M156,8),COLUMNS($M156:S156),1)</f>
        <v>1</v>
      </c>
      <c r="U156" s="5" t="str">
        <f>MID(HEX2BIN($M156,8),COLUMNS($M156:T156),1)</f>
        <v>0</v>
      </c>
    </row>
    <row r="157" spans="10:21" x14ac:dyDescent="0.25">
      <c r="J157" s="64"/>
      <c r="K157" s="32"/>
      <c r="M157" s="3" t="str">
        <f t="shared" si="5"/>
        <v>97</v>
      </c>
      <c r="N157" s="2" t="str">
        <f>MID(HEX2BIN($M157,8),COLUMNS($M157:M157),1)</f>
        <v>1</v>
      </c>
      <c r="O157" s="2" t="str">
        <f>MID(HEX2BIN($M157,8),COLUMNS($M157:N157),1)</f>
        <v>0</v>
      </c>
      <c r="P157" s="2" t="str">
        <f>MID(HEX2BIN($M157,8),COLUMNS($M157:O157),1)</f>
        <v>0</v>
      </c>
      <c r="Q157" s="2" t="str">
        <f>MID(HEX2BIN($M157,8),COLUMNS($M157:P157),1)</f>
        <v>1</v>
      </c>
      <c r="R157" s="2" t="str">
        <f>MID(HEX2BIN($M157,8),COLUMNS($M157:Q157),1)</f>
        <v>0</v>
      </c>
      <c r="S157" s="2" t="str">
        <f>MID(HEX2BIN($M157,8),COLUMNS($M157:R157),1)</f>
        <v>1</v>
      </c>
      <c r="T157" s="2" t="str">
        <f>MID(HEX2BIN($M157,8),COLUMNS($M157:S157),1)</f>
        <v>1</v>
      </c>
      <c r="U157" s="5" t="str">
        <f>MID(HEX2BIN($M157,8),COLUMNS($M157:T157),1)</f>
        <v>1</v>
      </c>
    </row>
    <row r="158" spans="10:21" x14ac:dyDescent="0.25">
      <c r="J158" s="64"/>
      <c r="K158" s="32"/>
      <c r="M158" s="3" t="str">
        <f t="shared" si="5"/>
        <v>98</v>
      </c>
      <c r="N158" s="2" t="str">
        <f>MID(HEX2BIN($M158,8),COLUMNS($M158:M158),1)</f>
        <v>1</v>
      </c>
      <c r="O158" s="2" t="str">
        <f>MID(HEX2BIN($M158,8),COLUMNS($M158:N158),1)</f>
        <v>0</v>
      </c>
      <c r="P158" s="2" t="str">
        <f>MID(HEX2BIN($M158,8),COLUMNS($M158:O158),1)</f>
        <v>0</v>
      </c>
      <c r="Q158" s="2" t="str">
        <f>MID(HEX2BIN($M158,8),COLUMNS($M158:P158),1)</f>
        <v>1</v>
      </c>
      <c r="R158" s="2" t="str">
        <f>MID(HEX2BIN($M158,8),COLUMNS($M158:Q158),1)</f>
        <v>1</v>
      </c>
      <c r="S158" s="2" t="str">
        <f>MID(HEX2BIN($M158,8),COLUMNS($M158:R158),1)</f>
        <v>0</v>
      </c>
      <c r="T158" s="2" t="str">
        <f>MID(HEX2BIN($M158,8),COLUMNS($M158:S158),1)</f>
        <v>0</v>
      </c>
      <c r="U158" s="5" t="str">
        <f>MID(HEX2BIN($M158,8),COLUMNS($M158:T158),1)</f>
        <v>0</v>
      </c>
    </row>
    <row r="159" spans="10:21" x14ac:dyDescent="0.25">
      <c r="J159" s="64"/>
      <c r="K159" s="32"/>
      <c r="M159" s="3" t="str">
        <f t="shared" si="5"/>
        <v>99</v>
      </c>
      <c r="N159" s="2" t="str">
        <f>MID(HEX2BIN($M159,8),COLUMNS($M159:M159),1)</f>
        <v>1</v>
      </c>
      <c r="O159" s="2" t="str">
        <f>MID(HEX2BIN($M159,8),COLUMNS($M159:N159),1)</f>
        <v>0</v>
      </c>
      <c r="P159" s="2" t="str">
        <f>MID(HEX2BIN($M159,8),COLUMNS($M159:O159),1)</f>
        <v>0</v>
      </c>
      <c r="Q159" s="2" t="str">
        <f>MID(HEX2BIN($M159,8),COLUMNS($M159:P159),1)</f>
        <v>1</v>
      </c>
      <c r="R159" s="2" t="str">
        <f>MID(HEX2BIN($M159,8),COLUMNS($M159:Q159),1)</f>
        <v>1</v>
      </c>
      <c r="S159" s="2" t="str">
        <f>MID(HEX2BIN($M159,8),COLUMNS($M159:R159),1)</f>
        <v>0</v>
      </c>
      <c r="T159" s="2" t="str">
        <f>MID(HEX2BIN($M159,8),COLUMNS($M159:S159),1)</f>
        <v>0</v>
      </c>
      <c r="U159" s="5" t="str">
        <f>MID(HEX2BIN($M159,8),COLUMNS($M159:T159),1)</f>
        <v>1</v>
      </c>
    </row>
    <row r="160" spans="10:21" x14ac:dyDescent="0.25">
      <c r="J160" s="64"/>
      <c r="K160" s="32"/>
      <c r="M160" s="3" t="str">
        <f t="shared" si="5"/>
        <v>9A</v>
      </c>
      <c r="N160" s="2" t="str">
        <f>MID(HEX2BIN($M160,8),COLUMNS($M160:M160),1)</f>
        <v>1</v>
      </c>
      <c r="O160" s="2" t="str">
        <f>MID(HEX2BIN($M160,8),COLUMNS($M160:N160),1)</f>
        <v>0</v>
      </c>
      <c r="P160" s="2" t="str">
        <f>MID(HEX2BIN($M160,8),COLUMNS($M160:O160),1)</f>
        <v>0</v>
      </c>
      <c r="Q160" s="2" t="str">
        <f>MID(HEX2BIN($M160,8),COLUMNS($M160:P160),1)</f>
        <v>1</v>
      </c>
      <c r="R160" s="2" t="str">
        <f>MID(HEX2BIN($M160,8),COLUMNS($M160:Q160),1)</f>
        <v>1</v>
      </c>
      <c r="S160" s="2" t="str">
        <f>MID(HEX2BIN($M160,8),COLUMNS($M160:R160),1)</f>
        <v>0</v>
      </c>
      <c r="T160" s="2" t="str">
        <f>MID(HEX2BIN($M160,8),COLUMNS($M160:S160),1)</f>
        <v>1</v>
      </c>
      <c r="U160" s="5" t="str">
        <f>MID(HEX2BIN($M160,8),COLUMNS($M160:T160),1)</f>
        <v>0</v>
      </c>
    </row>
    <row r="161" spans="10:21" x14ac:dyDescent="0.25">
      <c r="J161" s="64"/>
      <c r="K161" s="32"/>
      <c r="M161" s="3" t="str">
        <f t="shared" si="5"/>
        <v>9B</v>
      </c>
      <c r="N161" s="2" t="str">
        <f>MID(HEX2BIN($M161,8),COLUMNS($M161:M161),1)</f>
        <v>1</v>
      </c>
      <c r="O161" s="2" t="str">
        <f>MID(HEX2BIN($M161,8),COLUMNS($M161:N161),1)</f>
        <v>0</v>
      </c>
      <c r="P161" s="2" t="str">
        <f>MID(HEX2BIN($M161,8),COLUMNS($M161:O161),1)</f>
        <v>0</v>
      </c>
      <c r="Q161" s="2" t="str">
        <f>MID(HEX2BIN($M161,8),COLUMNS($M161:P161),1)</f>
        <v>1</v>
      </c>
      <c r="R161" s="2" t="str">
        <f>MID(HEX2BIN($M161,8),COLUMNS($M161:Q161),1)</f>
        <v>1</v>
      </c>
      <c r="S161" s="2" t="str">
        <f>MID(HEX2BIN($M161,8),COLUMNS($M161:R161),1)</f>
        <v>0</v>
      </c>
      <c r="T161" s="2" t="str">
        <f>MID(HEX2BIN($M161,8),COLUMNS($M161:S161),1)</f>
        <v>1</v>
      </c>
      <c r="U161" s="5" t="str">
        <f>MID(HEX2BIN($M161,8),COLUMNS($M161:T161),1)</f>
        <v>1</v>
      </c>
    </row>
    <row r="162" spans="10:21" x14ac:dyDescent="0.25">
      <c r="J162" s="64"/>
      <c r="K162" s="32"/>
      <c r="M162" s="3" t="str">
        <f t="shared" si="5"/>
        <v>9C</v>
      </c>
      <c r="N162" s="2" t="str">
        <f>MID(HEX2BIN($M162,8),COLUMNS($M162:M162),1)</f>
        <v>1</v>
      </c>
      <c r="O162" s="2" t="str">
        <f>MID(HEX2BIN($M162,8),COLUMNS($M162:N162),1)</f>
        <v>0</v>
      </c>
      <c r="P162" s="2" t="str">
        <f>MID(HEX2BIN($M162,8),COLUMNS($M162:O162),1)</f>
        <v>0</v>
      </c>
      <c r="Q162" s="2" t="str">
        <f>MID(HEX2BIN($M162,8),COLUMNS($M162:P162),1)</f>
        <v>1</v>
      </c>
      <c r="R162" s="2" t="str">
        <f>MID(HEX2BIN($M162,8),COLUMNS($M162:Q162),1)</f>
        <v>1</v>
      </c>
      <c r="S162" s="2" t="str">
        <f>MID(HEX2BIN($M162,8),COLUMNS($M162:R162),1)</f>
        <v>1</v>
      </c>
      <c r="T162" s="2" t="str">
        <f>MID(HEX2BIN($M162,8),COLUMNS($M162:S162),1)</f>
        <v>0</v>
      </c>
      <c r="U162" s="5" t="str">
        <f>MID(HEX2BIN($M162,8),COLUMNS($M162:T162),1)</f>
        <v>0</v>
      </c>
    </row>
    <row r="163" spans="10:21" x14ac:dyDescent="0.25">
      <c r="J163" s="64"/>
      <c r="K163" s="32"/>
      <c r="M163" s="3" t="str">
        <f t="shared" si="5"/>
        <v>9D</v>
      </c>
      <c r="N163" s="2" t="str">
        <f>MID(HEX2BIN($M163,8),COLUMNS($M163:M163),1)</f>
        <v>1</v>
      </c>
      <c r="O163" s="2" t="str">
        <f>MID(HEX2BIN($M163,8),COLUMNS($M163:N163),1)</f>
        <v>0</v>
      </c>
      <c r="P163" s="2" t="str">
        <f>MID(HEX2BIN($M163,8),COLUMNS($M163:O163),1)</f>
        <v>0</v>
      </c>
      <c r="Q163" s="2" t="str">
        <f>MID(HEX2BIN($M163,8),COLUMNS($M163:P163),1)</f>
        <v>1</v>
      </c>
      <c r="R163" s="2" t="str">
        <f>MID(HEX2BIN($M163,8),COLUMNS($M163:Q163),1)</f>
        <v>1</v>
      </c>
      <c r="S163" s="2" t="str">
        <f>MID(HEX2BIN($M163,8),COLUMNS($M163:R163),1)</f>
        <v>1</v>
      </c>
      <c r="T163" s="2" t="str">
        <f>MID(HEX2BIN($M163,8),COLUMNS($M163:S163),1)</f>
        <v>0</v>
      </c>
      <c r="U163" s="5" t="str">
        <f>MID(HEX2BIN($M163,8),COLUMNS($M163:T163),1)</f>
        <v>1</v>
      </c>
    </row>
    <row r="164" spans="10:21" x14ac:dyDescent="0.25">
      <c r="J164" s="64"/>
      <c r="K164" s="32"/>
      <c r="M164" s="3" t="str">
        <f t="shared" si="5"/>
        <v>9E</v>
      </c>
      <c r="N164" s="2" t="str">
        <f>MID(HEX2BIN($M164,8),COLUMNS($M164:M164),1)</f>
        <v>1</v>
      </c>
      <c r="O164" s="2" t="str">
        <f>MID(HEX2BIN($M164,8),COLUMNS($M164:N164),1)</f>
        <v>0</v>
      </c>
      <c r="P164" s="2" t="str">
        <f>MID(HEX2BIN($M164,8),COLUMNS($M164:O164),1)</f>
        <v>0</v>
      </c>
      <c r="Q164" s="2" t="str">
        <f>MID(HEX2BIN($M164,8),COLUMNS($M164:P164),1)</f>
        <v>1</v>
      </c>
      <c r="R164" s="2" t="str">
        <f>MID(HEX2BIN($M164,8),COLUMNS($M164:Q164),1)</f>
        <v>1</v>
      </c>
      <c r="S164" s="2" t="str">
        <f>MID(HEX2BIN($M164,8),COLUMNS($M164:R164),1)</f>
        <v>1</v>
      </c>
      <c r="T164" s="2" t="str">
        <f>MID(HEX2BIN($M164,8),COLUMNS($M164:S164),1)</f>
        <v>1</v>
      </c>
      <c r="U164" s="5" t="str">
        <f>MID(HEX2BIN($M164,8),COLUMNS($M164:T164),1)</f>
        <v>0</v>
      </c>
    </row>
    <row r="165" spans="10:21" x14ac:dyDescent="0.25">
      <c r="J165" s="64"/>
      <c r="K165" s="32"/>
      <c r="M165" s="3" t="str">
        <f t="shared" si="5"/>
        <v>9F</v>
      </c>
      <c r="N165" s="2" t="str">
        <f>MID(HEX2BIN($M165,8),COLUMNS($M165:M165),1)</f>
        <v>1</v>
      </c>
      <c r="O165" s="2" t="str">
        <f>MID(HEX2BIN($M165,8),COLUMNS($M165:N165),1)</f>
        <v>0</v>
      </c>
      <c r="P165" s="2" t="str">
        <f>MID(HEX2BIN($M165,8),COLUMNS($M165:O165),1)</f>
        <v>0</v>
      </c>
      <c r="Q165" s="2" t="str">
        <f>MID(HEX2BIN($M165,8),COLUMNS($M165:P165),1)</f>
        <v>1</v>
      </c>
      <c r="R165" s="2" t="str">
        <f>MID(HEX2BIN($M165,8),COLUMNS($M165:Q165),1)</f>
        <v>1</v>
      </c>
      <c r="S165" s="2" t="str">
        <f>MID(HEX2BIN($M165,8),COLUMNS($M165:R165),1)</f>
        <v>1</v>
      </c>
      <c r="T165" s="2" t="str">
        <f>MID(HEX2BIN($M165,8),COLUMNS($M165:S165),1)</f>
        <v>1</v>
      </c>
      <c r="U165" s="5" t="str">
        <f>MID(HEX2BIN($M165,8),COLUMNS($M165:T165),1)</f>
        <v>1</v>
      </c>
    </row>
    <row r="166" spans="10:21" x14ac:dyDescent="0.25">
      <c r="J166" s="64"/>
      <c r="K166" s="32"/>
      <c r="M166" s="3" t="str">
        <f t="shared" si="5"/>
        <v>A0</v>
      </c>
      <c r="N166" s="2" t="str">
        <f>MID(HEX2BIN($M166,8),COLUMNS($M166:M166),1)</f>
        <v>1</v>
      </c>
      <c r="O166" s="2" t="str">
        <f>MID(HEX2BIN($M166,8),COLUMNS($M166:N166),1)</f>
        <v>0</v>
      </c>
      <c r="P166" s="2" t="str">
        <f>MID(HEX2BIN($M166,8),COLUMNS($M166:O166),1)</f>
        <v>1</v>
      </c>
      <c r="Q166" s="2" t="str">
        <f>MID(HEX2BIN($M166,8),COLUMNS($M166:P166),1)</f>
        <v>0</v>
      </c>
      <c r="R166" s="2" t="str">
        <f>MID(HEX2BIN($M166,8),COLUMNS($M166:Q166),1)</f>
        <v>0</v>
      </c>
      <c r="S166" s="2" t="str">
        <f>MID(HEX2BIN($M166,8),COLUMNS($M166:R166),1)</f>
        <v>0</v>
      </c>
      <c r="T166" s="2" t="str">
        <f>MID(HEX2BIN($M166,8),COLUMNS($M166:S166),1)</f>
        <v>0</v>
      </c>
      <c r="U166" s="5" t="str">
        <f>MID(HEX2BIN($M166,8),COLUMNS($M166:T166),1)</f>
        <v>0</v>
      </c>
    </row>
    <row r="167" spans="10:21" x14ac:dyDescent="0.25">
      <c r="J167" s="64"/>
      <c r="K167" s="32"/>
      <c r="M167" s="3" t="str">
        <f t="shared" si="5"/>
        <v>A1</v>
      </c>
      <c r="N167" s="2" t="str">
        <f>MID(HEX2BIN($M167,8),COLUMNS($M167:M167),1)</f>
        <v>1</v>
      </c>
      <c r="O167" s="2" t="str">
        <f>MID(HEX2BIN($M167,8),COLUMNS($M167:N167),1)</f>
        <v>0</v>
      </c>
      <c r="P167" s="2" t="str">
        <f>MID(HEX2BIN($M167,8),COLUMNS($M167:O167),1)</f>
        <v>1</v>
      </c>
      <c r="Q167" s="2" t="str">
        <f>MID(HEX2BIN($M167,8),COLUMNS($M167:P167),1)</f>
        <v>0</v>
      </c>
      <c r="R167" s="2" t="str">
        <f>MID(HEX2BIN($M167,8),COLUMNS($M167:Q167),1)</f>
        <v>0</v>
      </c>
      <c r="S167" s="2" t="str">
        <f>MID(HEX2BIN($M167,8),COLUMNS($M167:R167),1)</f>
        <v>0</v>
      </c>
      <c r="T167" s="2" t="str">
        <f>MID(HEX2BIN($M167,8),COLUMNS($M167:S167),1)</f>
        <v>0</v>
      </c>
      <c r="U167" s="5" t="str">
        <f>MID(HEX2BIN($M167,8),COLUMNS($M167:T167),1)</f>
        <v>1</v>
      </c>
    </row>
    <row r="168" spans="10:21" x14ac:dyDescent="0.25">
      <c r="J168" s="64"/>
      <c r="K168" s="32"/>
      <c r="M168" s="3" t="str">
        <f t="shared" si="5"/>
        <v>A2</v>
      </c>
      <c r="N168" s="2" t="str">
        <f>MID(HEX2BIN($M168,8),COLUMNS($M168:M168),1)</f>
        <v>1</v>
      </c>
      <c r="O168" s="2" t="str">
        <f>MID(HEX2BIN($M168,8),COLUMNS($M168:N168),1)</f>
        <v>0</v>
      </c>
      <c r="P168" s="2" t="str">
        <f>MID(HEX2BIN($M168,8),COLUMNS($M168:O168),1)</f>
        <v>1</v>
      </c>
      <c r="Q168" s="2" t="str">
        <f>MID(HEX2BIN($M168,8),COLUMNS($M168:P168),1)</f>
        <v>0</v>
      </c>
      <c r="R168" s="2" t="str">
        <f>MID(HEX2BIN($M168,8),COLUMNS($M168:Q168),1)</f>
        <v>0</v>
      </c>
      <c r="S168" s="2" t="str">
        <f>MID(HEX2BIN($M168,8),COLUMNS($M168:R168),1)</f>
        <v>0</v>
      </c>
      <c r="T168" s="2" t="str">
        <f>MID(HEX2BIN($M168,8),COLUMNS($M168:S168),1)</f>
        <v>1</v>
      </c>
      <c r="U168" s="5" t="str">
        <f>MID(HEX2BIN($M168,8),COLUMNS($M168:T168),1)</f>
        <v>0</v>
      </c>
    </row>
    <row r="169" spans="10:21" x14ac:dyDescent="0.25">
      <c r="J169" s="64"/>
      <c r="K169" s="32"/>
      <c r="M169" s="3" t="str">
        <f t="shared" si="5"/>
        <v>A3</v>
      </c>
      <c r="N169" s="2" t="str">
        <f>MID(HEX2BIN($M169,8),COLUMNS($M169:M169),1)</f>
        <v>1</v>
      </c>
      <c r="O169" s="2" t="str">
        <f>MID(HEX2BIN($M169,8),COLUMNS($M169:N169),1)</f>
        <v>0</v>
      </c>
      <c r="P169" s="2" t="str">
        <f>MID(HEX2BIN($M169,8),COLUMNS($M169:O169),1)</f>
        <v>1</v>
      </c>
      <c r="Q169" s="2" t="str">
        <f>MID(HEX2BIN($M169,8),COLUMNS($M169:P169),1)</f>
        <v>0</v>
      </c>
      <c r="R169" s="2" t="str">
        <f>MID(HEX2BIN($M169,8),COLUMNS($M169:Q169),1)</f>
        <v>0</v>
      </c>
      <c r="S169" s="2" t="str">
        <f>MID(HEX2BIN($M169,8),COLUMNS($M169:R169),1)</f>
        <v>0</v>
      </c>
      <c r="T169" s="2" t="str">
        <f>MID(HEX2BIN($M169,8),COLUMNS($M169:S169),1)</f>
        <v>1</v>
      </c>
      <c r="U169" s="5" t="str">
        <f>MID(HEX2BIN($M169,8),COLUMNS($M169:T169),1)</f>
        <v>1</v>
      </c>
    </row>
    <row r="170" spans="10:21" x14ac:dyDescent="0.25">
      <c r="J170" s="64"/>
      <c r="K170" s="32"/>
      <c r="M170" s="3" t="str">
        <f t="shared" si="5"/>
        <v>A4</v>
      </c>
      <c r="N170" s="2" t="str">
        <f>MID(HEX2BIN($M170,8),COLUMNS($M170:M170),1)</f>
        <v>1</v>
      </c>
      <c r="O170" s="2" t="str">
        <f>MID(HEX2BIN($M170,8),COLUMNS($M170:N170),1)</f>
        <v>0</v>
      </c>
      <c r="P170" s="2" t="str">
        <f>MID(HEX2BIN($M170,8),COLUMNS($M170:O170),1)</f>
        <v>1</v>
      </c>
      <c r="Q170" s="2" t="str">
        <f>MID(HEX2BIN($M170,8),COLUMNS($M170:P170),1)</f>
        <v>0</v>
      </c>
      <c r="R170" s="2" t="str">
        <f>MID(HEX2BIN($M170,8),COLUMNS($M170:Q170),1)</f>
        <v>0</v>
      </c>
      <c r="S170" s="2" t="str">
        <f>MID(HEX2BIN($M170,8),COLUMNS($M170:R170),1)</f>
        <v>1</v>
      </c>
      <c r="T170" s="2" t="str">
        <f>MID(HEX2BIN($M170,8),COLUMNS($M170:S170),1)</f>
        <v>0</v>
      </c>
      <c r="U170" s="5" t="str">
        <f>MID(HEX2BIN($M170,8),COLUMNS($M170:T170),1)</f>
        <v>0</v>
      </c>
    </row>
    <row r="171" spans="10:21" x14ac:dyDescent="0.25">
      <c r="J171" s="64"/>
      <c r="K171" s="32"/>
      <c r="M171" s="3" t="str">
        <f t="shared" si="5"/>
        <v>A5</v>
      </c>
      <c r="N171" s="2" t="str">
        <f>MID(HEX2BIN($M171,8),COLUMNS($M171:M171),1)</f>
        <v>1</v>
      </c>
      <c r="O171" s="2" t="str">
        <f>MID(HEX2BIN($M171,8),COLUMNS($M171:N171),1)</f>
        <v>0</v>
      </c>
      <c r="P171" s="2" t="str">
        <f>MID(HEX2BIN($M171,8),COLUMNS($M171:O171),1)</f>
        <v>1</v>
      </c>
      <c r="Q171" s="2" t="str">
        <f>MID(HEX2BIN($M171,8),COLUMNS($M171:P171),1)</f>
        <v>0</v>
      </c>
      <c r="R171" s="2" t="str">
        <f>MID(HEX2BIN($M171,8),COLUMNS($M171:Q171),1)</f>
        <v>0</v>
      </c>
      <c r="S171" s="2" t="str">
        <f>MID(HEX2BIN($M171,8),COLUMNS($M171:R171),1)</f>
        <v>1</v>
      </c>
      <c r="T171" s="2" t="str">
        <f>MID(HEX2BIN($M171,8),COLUMNS($M171:S171),1)</f>
        <v>0</v>
      </c>
      <c r="U171" s="5" t="str">
        <f>MID(HEX2BIN($M171,8),COLUMNS($M171:T171),1)</f>
        <v>1</v>
      </c>
    </row>
    <row r="172" spans="10:21" x14ac:dyDescent="0.25">
      <c r="J172" s="64"/>
      <c r="K172" s="32"/>
      <c r="M172" s="3" t="str">
        <f t="shared" si="5"/>
        <v>A6</v>
      </c>
      <c r="N172" s="2" t="str">
        <f>MID(HEX2BIN($M172,8),COLUMNS($M172:M172),1)</f>
        <v>1</v>
      </c>
      <c r="O172" s="2" t="str">
        <f>MID(HEX2BIN($M172,8),COLUMNS($M172:N172),1)</f>
        <v>0</v>
      </c>
      <c r="P172" s="2" t="str">
        <f>MID(HEX2BIN($M172,8),COLUMNS($M172:O172),1)</f>
        <v>1</v>
      </c>
      <c r="Q172" s="2" t="str">
        <f>MID(HEX2BIN($M172,8),COLUMNS($M172:P172),1)</f>
        <v>0</v>
      </c>
      <c r="R172" s="2" t="str">
        <f>MID(HEX2BIN($M172,8),COLUMNS($M172:Q172),1)</f>
        <v>0</v>
      </c>
      <c r="S172" s="2" t="str">
        <f>MID(HEX2BIN($M172,8),COLUMNS($M172:R172),1)</f>
        <v>1</v>
      </c>
      <c r="T172" s="2" t="str">
        <f>MID(HEX2BIN($M172,8),COLUMNS($M172:S172),1)</f>
        <v>1</v>
      </c>
      <c r="U172" s="5" t="str">
        <f>MID(HEX2BIN($M172,8),COLUMNS($M172:T172),1)</f>
        <v>0</v>
      </c>
    </row>
    <row r="173" spans="10:21" x14ac:dyDescent="0.25">
      <c r="J173" s="64"/>
      <c r="K173" s="32"/>
      <c r="M173" s="3" t="str">
        <f t="shared" si="5"/>
        <v>A7</v>
      </c>
      <c r="N173" s="2" t="str">
        <f>MID(HEX2BIN($M173,8),COLUMNS($M173:M173),1)</f>
        <v>1</v>
      </c>
      <c r="O173" s="2" t="str">
        <f>MID(HEX2BIN($M173,8),COLUMNS($M173:N173),1)</f>
        <v>0</v>
      </c>
      <c r="P173" s="2" t="str">
        <f>MID(HEX2BIN($M173,8),COLUMNS($M173:O173),1)</f>
        <v>1</v>
      </c>
      <c r="Q173" s="2" t="str">
        <f>MID(HEX2BIN($M173,8),COLUMNS($M173:P173),1)</f>
        <v>0</v>
      </c>
      <c r="R173" s="2" t="str">
        <f>MID(HEX2BIN($M173,8),COLUMNS($M173:Q173),1)</f>
        <v>0</v>
      </c>
      <c r="S173" s="2" t="str">
        <f>MID(HEX2BIN($M173,8),COLUMNS($M173:R173),1)</f>
        <v>1</v>
      </c>
      <c r="T173" s="2" t="str">
        <f>MID(HEX2BIN($M173,8),COLUMNS($M173:S173),1)</f>
        <v>1</v>
      </c>
      <c r="U173" s="5" t="str">
        <f>MID(HEX2BIN($M173,8),COLUMNS($M173:T173),1)</f>
        <v>1</v>
      </c>
    </row>
    <row r="174" spans="10:21" x14ac:dyDescent="0.25">
      <c r="J174" s="64"/>
      <c r="K174" s="32"/>
      <c r="M174" s="3" t="str">
        <f t="shared" si="5"/>
        <v>A8</v>
      </c>
      <c r="N174" s="2" t="str">
        <f>MID(HEX2BIN($M174,8),COLUMNS($M174:M174),1)</f>
        <v>1</v>
      </c>
      <c r="O174" s="2" t="str">
        <f>MID(HEX2BIN($M174,8),COLUMNS($M174:N174),1)</f>
        <v>0</v>
      </c>
      <c r="P174" s="2" t="str">
        <f>MID(HEX2BIN($M174,8),COLUMNS($M174:O174),1)</f>
        <v>1</v>
      </c>
      <c r="Q174" s="2" t="str">
        <f>MID(HEX2BIN($M174,8),COLUMNS($M174:P174),1)</f>
        <v>0</v>
      </c>
      <c r="R174" s="2" t="str">
        <f>MID(HEX2BIN($M174,8),COLUMNS($M174:Q174),1)</f>
        <v>1</v>
      </c>
      <c r="S174" s="2" t="str">
        <f>MID(HEX2BIN($M174,8),COLUMNS($M174:R174),1)</f>
        <v>0</v>
      </c>
      <c r="T174" s="2" t="str">
        <f>MID(HEX2BIN($M174,8),COLUMNS($M174:S174),1)</f>
        <v>0</v>
      </c>
      <c r="U174" s="5" t="str">
        <f>MID(HEX2BIN($M174,8),COLUMNS($M174:T174),1)</f>
        <v>0</v>
      </c>
    </row>
    <row r="175" spans="10:21" x14ac:dyDescent="0.25">
      <c r="J175" s="64"/>
      <c r="K175" s="32"/>
      <c r="M175" s="3" t="str">
        <f t="shared" si="5"/>
        <v>A9</v>
      </c>
      <c r="N175" s="2" t="str">
        <f>MID(HEX2BIN($M175,8),COLUMNS($M175:M175),1)</f>
        <v>1</v>
      </c>
      <c r="O175" s="2" t="str">
        <f>MID(HEX2BIN($M175,8),COLUMNS($M175:N175),1)</f>
        <v>0</v>
      </c>
      <c r="P175" s="2" t="str">
        <f>MID(HEX2BIN($M175,8),COLUMNS($M175:O175),1)</f>
        <v>1</v>
      </c>
      <c r="Q175" s="2" t="str">
        <f>MID(HEX2BIN($M175,8),COLUMNS($M175:P175),1)</f>
        <v>0</v>
      </c>
      <c r="R175" s="2" t="str">
        <f>MID(HEX2BIN($M175,8),COLUMNS($M175:Q175),1)</f>
        <v>1</v>
      </c>
      <c r="S175" s="2" t="str">
        <f>MID(HEX2BIN($M175,8),COLUMNS($M175:R175),1)</f>
        <v>0</v>
      </c>
      <c r="T175" s="2" t="str">
        <f>MID(HEX2BIN($M175,8),COLUMNS($M175:S175),1)</f>
        <v>0</v>
      </c>
      <c r="U175" s="5" t="str">
        <f>MID(HEX2BIN($M175,8),COLUMNS($M175:T175),1)</f>
        <v>1</v>
      </c>
    </row>
    <row r="176" spans="10:21" x14ac:dyDescent="0.25">
      <c r="J176" s="64"/>
      <c r="K176" s="32"/>
      <c r="M176" s="3" t="str">
        <f t="shared" si="5"/>
        <v>AA</v>
      </c>
      <c r="N176" s="2" t="str">
        <f>MID(HEX2BIN($M176,8),COLUMNS($M176:M176),1)</f>
        <v>1</v>
      </c>
      <c r="O176" s="2" t="str">
        <f>MID(HEX2BIN($M176,8),COLUMNS($M176:N176),1)</f>
        <v>0</v>
      </c>
      <c r="P176" s="2" t="str">
        <f>MID(HEX2BIN($M176,8),COLUMNS($M176:O176),1)</f>
        <v>1</v>
      </c>
      <c r="Q176" s="2" t="str">
        <f>MID(HEX2BIN($M176,8),COLUMNS($M176:P176),1)</f>
        <v>0</v>
      </c>
      <c r="R176" s="2" t="str">
        <f>MID(HEX2BIN($M176,8),COLUMNS($M176:Q176),1)</f>
        <v>1</v>
      </c>
      <c r="S176" s="2" t="str">
        <f>MID(HEX2BIN($M176,8),COLUMNS($M176:R176),1)</f>
        <v>0</v>
      </c>
      <c r="T176" s="2" t="str">
        <f>MID(HEX2BIN($M176,8),COLUMNS($M176:S176),1)</f>
        <v>1</v>
      </c>
      <c r="U176" s="5" t="str">
        <f>MID(HEX2BIN($M176,8),COLUMNS($M176:T176),1)</f>
        <v>0</v>
      </c>
    </row>
    <row r="177" spans="10:21" x14ac:dyDescent="0.25">
      <c r="J177" s="64"/>
      <c r="K177" s="32"/>
      <c r="M177" s="3" t="str">
        <f t="shared" si="5"/>
        <v>AB</v>
      </c>
      <c r="N177" s="2" t="str">
        <f>MID(HEX2BIN($M177,8),COLUMNS($M177:M177),1)</f>
        <v>1</v>
      </c>
      <c r="O177" s="2" t="str">
        <f>MID(HEX2BIN($M177,8),COLUMNS($M177:N177),1)</f>
        <v>0</v>
      </c>
      <c r="P177" s="2" t="str">
        <f>MID(HEX2BIN($M177,8),COLUMNS($M177:O177),1)</f>
        <v>1</v>
      </c>
      <c r="Q177" s="2" t="str">
        <f>MID(HEX2BIN($M177,8),COLUMNS($M177:P177),1)</f>
        <v>0</v>
      </c>
      <c r="R177" s="2" t="str">
        <f>MID(HEX2BIN($M177,8),COLUMNS($M177:Q177),1)</f>
        <v>1</v>
      </c>
      <c r="S177" s="2" t="str">
        <f>MID(HEX2BIN($M177,8),COLUMNS($M177:R177),1)</f>
        <v>0</v>
      </c>
      <c r="T177" s="2" t="str">
        <f>MID(HEX2BIN($M177,8),COLUMNS($M177:S177),1)</f>
        <v>1</v>
      </c>
      <c r="U177" s="5" t="str">
        <f>MID(HEX2BIN($M177,8),COLUMNS($M177:T177),1)</f>
        <v>1</v>
      </c>
    </row>
    <row r="178" spans="10:21" x14ac:dyDescent="0.25">
      <c r="J178" s="64"/>
      <c r="K178" s="32"/>
      <c r="M178" s="3" t="str">
        <f t="shared" si="5"/>
        <v>AC</v>
      </c>
      <c r="N178" s="2" t="str">
        <f>MID(HEX2BIN($M178,8),COLUMNS($M178:M178),1)</f>
        <v>1</v>
      </c>
      <c r="O178" s="2" t="str">
        <f>MID(HEX2BIN($M178,8),COLUMNS($M178:N178),1)</f>
        <v>0</v>
      </c>
      <c r="P178" s="2" t="str">
        <f>MID(HEX2BIN($M178,8),COLUMNS($M178:O178),1)</f>
        <v>1</v>
      </c>
      <c r="Q178" s="2" t="str">
        <f>MID(HEX2BIN($M178,8),COLUMNS($M178:P178),1)</f>
        <v>0</v>
      </c>
      <c r="R178" s="2" t="str">
        <f>MID(HEX2BIN($M178,8),COLUMNS($M178:Q178),1)</f>
        <v>1</v>
      </c>
      <c r="S178" s="2" t="str">
        <f>MID(HEX2BIN($M178,8),COLUMNS($M178:R178),1)</f>
        <v>1</v>
      </c>
      <c r="T178" s="2" t="str">
        <f>MID(HEX2BIN($M178,8),COLUMNS($M178:S178),1)</f>
        <v>0</v>
      </c>
      <c r="U178" s="5" t="str">
        <f>MID(HEX2BIN($M178,8),COLUMNS($M178:T178),1)</f>
        <v>0</v>
      </c>
    </row>
    <row r="179" spans="10:21" x14ac:dyDescent="0.25">
      <c r="J179" s="64"/>
      <c r="K179" s="32"/>
      <c r="M179" s="3" t="str">
        <f t="shared" si="5"/>
        <v>AD</v>
      </c>
      <c r="N179" s="2" t="str">
        <f>MID(HEX2BIN($M179,8),COLUMNS($M179:M179),1)</f>
        <v>1</v>
      </c>
      <c r="O179" s="2" t="str">
        <f>MID(HEX2BIN($M179,8),COLUMNS($M179:N179),1)</f>
        <v>0</v>
      </c>
      <c r="P179" s="2" t="str">
        <f>MID(HEX2BIN($M179,8),COLUMNS($M179:O179),1)</f>
        <v>1</v>
      </c>
      <c r="Q179" s="2" t="str">
        <f>MID(HEX2BIN($M179,8),COLUMNS($M179:P179),1)</f>
        <v>0</v>
      </c>
      <c r="R179" s="2" t="str">
        <f>MID(HEX2BIN($M179,8),COLUMNS($M179:Q179),1)</f>
        <v>1</v>
      </c>
      <c r="S179" s="2" t="str">
        <f>MID(HEX2BIN($M179,8),COLUMNS($M179:R179),1)</f>
        <v>1</v>
      </c>
      <c r="T179" s="2" t="str">
        <f>MID(HEX2BIN($M179,8),COLUMNS($M179:S179),1)</f>
        <v>0</v>
      </c>
      <c r="U179" s="5" t="str">
        <f>MID(HEX2BIN($M179,8),COLUMNS($M179:T179),1)</f>
        <v>1</v>
      </c>
    </row>
    <row r="180" spans="10:21" x14ac:dyDescent="0.25">
      <c r="J180" s="64"/>
      <c r="K180" s="32"/>
      <c r="M180" s="3" t="str">
        <f t="shared" si="5"/>
        <v>AE</v>
      </c>
      <c r="N180" s="2" t="str">
        <f>MID(HEX2BIN($M180,8),COLUMNS($M180:M180),1)</f>
        <v>1</v>
      </c>
      <c r="O180" s="2" t="str">
        <f>MID(HEX2BIN($M180,8),COLUMNS($M180:N180),1)</f>
        <v>0</v>
      </c>
      <c r="P180" s="2" t="str">
        <f>MID(HEX2BIN($M180,8),COLUMNS($M180:O180),1)</f>
        <v>1</v>
      </c>
      <c r="Q180" s="2" t="str">
        <f>MID(HEX2BIN($M180,8),COLUMNS($M180:P180),1)</f>
        <v>0</v>
      </c>
      <c r="R180" s="2" t="str">
        <f>MID(HEX2BIN($M180,8),COLUMNS($M180:Q180),1)</f>
        <v>1</v>
      </c>
      <c r="S180" s="2" t="str">
        <f>MID(HEX2BIN($M180,8),COLUMNS($M180:R180),1)</f>
        <v>1</v>
      </c>
      <c r="T180" s="2" t="str">
        <f>MID(HEX2BIN($M180,8),COLUMNS($M180:S180),1)</f>
        <v>1</v>
      </c>
      <c r="U180" s="5" t="str">
        <f>MID(HEX2BIN($M180,8),COLUMNS($M180:T180),1)</f>
        <v>0</v>
      </c>
    </row>
    <row r="181" spans="10:21" x14ac:dyDescent="0.25">
      <c r="J181" s="64"/>
      <c r="K181" s="32"/>
      <c r="M181" s="3" t="str">
        <f t="shared" si="5"/>
        <v>AF</v>
      </c>
      <c r="N181" s="2" t="str">
        <f>MID(HEX2BIN($M181,8),COLUMNS($M181:M181),1)</f>
        <v>1</v>
      </c>
      <c r="O181" s="2" t="str">
        <f>MID(HEX2BIN($M181,8),COLUMNS($M181:N181),1)</f>
        <v>0</v>
      </c>
      <c r="P181" s="2" t="str">
        <f>MID(HEX2BIN($M181,8),COLUMNS($M181:O181),1)</f>
        <v>1</v>
      </c>
      <c r="Q181" s="2" t="str">
        <f>MID(HEX2BIN($M181,8),COLUMNS($M181:P181),1)</f>
        <v>0</v>
      </c>
      <c r="R181" s="2" t="str">
        <f>MID(HEX2BIN($M181,8),COLUMNS($M181:Q181),1)</f>
        <v>1</v>
      </c>
      <c r="S181" s="2" t="str">
        <f>MID(HEX2BIN($M181,8),COLUMNS($M181:R181),1)</f>
        <v>1</v>
      </c>
      <c r="T181" s="2" t="str">
        <f>MID(HEX2BIN($M181,8),COLUMNS($M181:S181),1)</f>
        <v>1</v>
      </c>
      <c r="U181" s="5" t="str">
        <f>MID(HEX2BIN($M181,8),COLUMNS($M181:T181),1)</f>
        <v>1</v>
      </c>
    </row>
    <row r="182" spans="10:21" x14ac:dyDescent="0.25">
      <c r="J182" s="64"/>
      <c r="K182" s="32"/>
      <c r="M182" s="3" t="str">
        <f t="shared" si="5"/>
        <v>B0</v>
      </c>
      <c r="N182" s="2" t="str">
        <f>MID(HEX2BIN($M182,8),COLUMNS($M182:M182),1)</f>
        <v>1</v>
      </c>
      <c r="O182" s="2" t="str">
        <f>MID(HEX2BIN($M182,8),COLUMNS($M182:N182),1)</f>
        <v>0</v>
      </c>
      <c r="P182" s="2" t="str">
        <f>MID(HEX2BIN($M182,8),COLUMNS($M182:O182),1)</f>
        <v>1</v>
      </c>
      <c r="Q182" s="2" t="str">
        <f>MID(HEX2BIN($M182,8),COLUMNS($M182:P182),1)</f>
        <v>1</v>
      </c>
      <c r="R182" s="2" t="str">
        <f>MID(HEX2BIN($M182,8),COLUMNS($M182:Q182),1)</f>
        <v>0</v>
      </c>
      <c r="S182" s="2" t="str">
        <f>MID(HEX2BIN($M182,8),COLUMNS($M182:R182),1)</f>
        <v>0</v>
      </c>
      <c r="T182" s="2" t="str">
        <f>MID(HEX2BIN($M182,8),COLUMNS($M182:S182),1)</f>
        <v>0</v>
      </c>
      <c r="U182" s="5" t="str">
        <f>MID(HEX2BIN($M182,8),COLUMNS($M182:T182),1)</f>
        <v>0</v>
      </c>
    </row>
    <row r="183" spans="10:21" x14ac:dyDescent="0.25">
      <c r="J183" s="64"/>
      <c r="K183" s="32"/>
      <c r="M183" s="3" t="str">
        <f t="shared" si="5"/>
        <v>B1</v>
      </c>
      <c r="N183" s="2" t="str">
        <f>MID(HEX2BIN($M183,8),COLUMNS($M183:M183),1)</f>
        <v>1</v>
      </c>
      <c r="O183" s="2" t="str">
        <f>MID(HEX2BIN($M183,8),COLUMNS($M183:N183),1)</f>
        <v>0</v>
      </c>
      <c r="P183" s="2" t="str">
        <f>MID(HEX2BIN($M183,8),COLUMNS($M183:O183),1)</f>
        <v>1</v>
      </c>
      <c r="Q183" s="2" t="str">
        <f>MID(HEX2BIN($M183,8),COLUMNS($M183:P183),1)</f>
        <v>1</v>
      </c>
      <c r="R183" s="2" t="str">
        <f>MID(HEX2BIN($M183,8),COLUMNS($M183:Q183),1)</f>
        <v>0</v>
      </c>
      <c r="S183" s="2" t="str">
        <f>MID(HEX2BIN($M183,8),COLUMNS($M183:R183),1)</f>
        <v>0</v>
      </c>
      <c r="T183" s="2" t="str">
        <f>MID(HEX2BIN($M183,8),COLUMNS($M183:S183),1)</f>
        <v>0</v>
      </c>
      <c r="U183" s="5" t="str">
        <f>MID(HEX2BIN($M183,8),COLUMNS($M183:T183),1)</f>
        <v>1</v>
      </c>
    </row>
    <row r="184" spans="10:21" x14ac:dyDescent="0.25">
      <c r="J184" s="64"/>
      <c r="K184" s="32"/>
      <c r="M184" s="3" t="str">
        <f t="shared" si="5"/>
        <v>B2</v>
      </c>
      <c r="N184" s="2" t="str">
        <f>MID(HEX2BIN($M184,8),COLUMNS($M184:M184),1)</f>
        <v>1</v>
      </c>
      <c r="O184" s="2" t="str">
        <f>MID(HEX2BIN($M184,8),COLUMNS($M184:N184),1)</f>
        <v>0</v>
      </c>
      <c r="P184" s="2" t="str">
        <f>MID(HEX2BIN($M184,8),COLUMNS($M184:O184),1)</f>
        <v>1</v>
      </c>
      <c r="Q184" s="2" t="str">
        <f>MID(HEX2BIN($M184,8),COLUMNS($M184:P184),1)</f>
        <v>1</v>
      </c>
      <c r="R184" s="2" t="str">
        <f>MID(HEX2BIN($M184,8),COLUMNS($M184:Q184),1)</f>
        <v>0</v>
      </c>
      <c r="S184" s="2" t="str">
        <f>MID(HEX2BIN($M184,8),COLUMNS($M184:R184),1)</f>
        <v>0</v>
      </c>
      <c r="T184" s="2" t="str">
        <f>MID(HEX2BIN($M184,8),COLUMNS($M184:S184),1)</f>
        <v>1</v>
      </c>
      <c r="U184" s="5" t="str">
        <f>MID(HEX2BIN($M184,8),COLUMNS($M184:T184),1)</f>
        <v>0</v>
      </c>
    </row>
    <row r="185" spans="10:21" x14ac:dyDescent="0.25">
      <c r="J185" s="64"/>
      <c r="K185" s="32"/>
      <c r="M185" s="3" t="str">
        <f t="shared" si="5"/>
        <v>B3</v>
      </c>
      <c r="N185" s="2" t="str">
        <f>MID(HEX2BIN($M185,8),COLUMNS($M185:M185),1)</f>
        <v>1</v>
      </c>
      <c r="O185" s="2" t="str">
        <f>MID(HEX2BIN($M185,8),COLUMNS($M185:N185),1)</f>
        <v>0</v>
      </c>
      <c r="P185" s="2" t="str">
        <f>MID(HEX2BIN($M185,8),COLUMNS($M185:O185),1)</f>
        <v>1</v>
      </c>
      <c r="Q185" s="2" t="str">
        <f>MID(HEX2BIN($M185,8),COLUMNS($M185:P185),1)</f>
        <v>1</v>
      </c>
      <c r="R185" s="2" t="str">
        <f>MID(HEX2BIN($M185,8),COLUMNS($M185:Q185),1)</f>
        <v>0</v>
      </c>
      <c r="S185" s="2" t="str">
        <f>MID(HEX2BIN($M185,8),COLUMNS($M185:R185),1)</f>
        <v>0</v>
      </c>
      <c r="T185" s="2" t="str">
        <f>MID(HEX2BIN($M185,8),COLUMNS($M185:S185),1)</f>
        <v>1</v>
      </c>
      <c r="U185" s="5" t="str">
        <f>MID(HEX2BIN($M185,8),COLUMNS($M185:T185),1)</f>
        <v>1</v>
      </c>
    </row>
    <row r="186" spans="10:21" x14ac:dyDescent="0.25">
      <c r="J186" s="64"/>
      <c r="K186" s="32"/>
      <c r="M186" s="3" t="str">
        <f t="shared" si="5"/>
        <v>B4</v>
      </c>
      <c r="N186" s="2" t="str">
        <f>MID(HEX2BIN($M186,8),COLUMNS($M186:M186),1)</f>
        <v>1</v>
      </c>
      <c r="O186" s="2" t="str">
        <f>MID(HEX2BIN($M186,8),COLUMNS($M186:N186),1)</f>
        <v>0</v>
      </c>
      <c r="P186" s="2" t="str">
        <f>MID(HEX2BIN($M186,8),COLUMNS($M186:O186),1)</f>
        <v>1</v>
      </c>
      <c r="Q186" s="2" t="str">
        <f>MID(HEX2BIN($M186,8),COLUMNS($M186:P186),1)</f>
        <v>1</v>
      </c>
      <c r="R186" s="2" t="str">
        <f>MID(HEX2BIN($M186,8),COLUMNS($M186:Q186),1)</f>
        <v>0</v>
      </c>
      <c r="S186" s="2" t="str">
        <f>MID(HEX2BIN($M186,8),COLUMNS($M186:R186),1)</f>
        <v>1</v>
      </c>
      <c r="T186" s="2" t="str">
        <f>MID(HEX2BIN($M186,8),COLUMNS($M186:S186),1)</f>
        <v>0</v>
      </c>
      <c r="U186" s="5" t="str">
        <f>MID(HEX2BIN($M186,8),COLUMNS($M186:T186),1)</f>
        <v>0</v>
      </c>
    </row>
    <row r="187" spans="10:21" x14ac:dyDescent="0.25">
      <c r="J187" s="64"/>
      <c r="K187" s="32"/>
      <c r="M187" s="3" t="str">
        <f t="shared" si="5"/>
        <v>B5</v>
      </c>
      <c r="N187" s="2" t="str">
        <f>MID(HEX2BIN($M187,8),COLUMNS($M187:M187),1)</f>
        <v>1</v>
      </c>
      <c r="O187" s="2" t="str">
        <f>MID(HEX2BIN($M187,8),COLUMNS($M187:N187),1)</f>
        <v>0</v>
      </c>
      <c r="P187" s="2" t="str">
        <f>MID(HEX2BIN($M187,8),COLUMNS($M187:O187),1)</f>
        <v>1</v>
      </c>
      <c r="Q187" s="2" t="str">
        <f>MID(HEX2BIN($M187,8),COLUMNS($M187:P187),1)</f>
        <v>1</v>
      </c>
      <c r="R187" s="2" t="str">
        <f>MID(HEX2BIN($M187,8),COLUMNS($M187:Q187),1)</f>
        <v>0</v>
      </c>
      <c r="S187" s="2" t="str">
        <f>MID(HEX2BIN($M187,8),COLUMNS($M187:R187),1)</f>
        <v>1</v>
      </c>
      <c r="T187" s="2" t="str">
        <f>MID(HEX2BIN($M187,8),COLUMNS($M187:S187),1)</f>
        <v>0</v>
      </c>
      <c r="U187" s="5" t="str">
        <f>MID(HEX2BIN($M187,8),COLUMNS($M187:T187),1)</f>
        <v>1</v>
      </c>
    </row>
    <row r="188" spans="10:21" x14ac:dyDescent="0.25">
      <c r="J188" s="64"/>
      <c r="K188" s="32"/>
      <c r="M188" s="3" t="str">
        <f t="shared" si="5"/>
        <v>B6</v>
      </c>
      <c r="N188" s="2" t="str">
        <f>MID(HEX2BIN($M188,8),COLUMNS($M188:M188),1)</f>
        <v>1</v>
      </c>
      <c r="O188" s="2" t="str">
        <f>MID(HEX2BIN($M188,8),COLUMNS($M188:N188),1)</f>
        <v>0</v>
      </c>
      <c r="P188" s="2" t="str">
        <f>MID(HEX2BIN($M188,8),COLUMNS($M188:O188),1)</f>
        <v>1</v>
      </c>
      <c r="Q188" s="2" t="str">
        <f>MID(HEX2BIN($M188,8),COLUMNS($M188:P188),1)</f>
        <v>1</v>
      </c>
      <c r="R188" s="2" t="str">
        <f>MID(HEX2BIN($M188,8),COLUMNS($M188:Q188),1)</f>
        <v>0</v>
      </c>
      <c r="S188" s="2" t="str">
        <f>MID(HEX2BIN($M188,8),COLUMNS($M188:R188),1)</f>
        <v>1</v>
      </c>
      <c r="T188" s="2" t="str">
        <f>MID(HEX2BIN($M188,8),COLUMNS($M188:S188),1)</f>
        <v>1</v>
      </c>
      <c r="U188" s="5" t="str">
        <f>MID(HEX2BIN($M188,8),COLUMNS($M188:T188),1)</f>
        <v>0</v>
      </c>
    </row>
    <row r="189" spans="10:21" x14ac:dyDescent="0.25">
      <c r="J189" s="64"/>
      <c r="K189" s="32"/>
      <c r="M189" s="3" t="str">
        <f t="shared" si="5"/>
        <v>B7</v>
      </c>
      <c r="N189" s="2" t="str">
        <f>MID(HEX2BIN($M189,8),COLUMNS($M189:M189),1)</f>
        <v>1</v>
      </c>
      <c r="O189" s="2" t="str">
        <f>MID(HEX2BIN($M189,8),COLUMNS($M189:N189),1)</f>
        <v>0</v>
      </c>
      <c r="P189" s="2" t="str">
        <f>MID(HEX2BIN($M189,8),COLUMNS($M189:O189),1)</f>
        <v>1</v>
      </c>
      <c r="Q189" s="2" t="str">
        <f>MID(HEX2BIN($M189,8),COLUMNS($M189:P189),1)</f>
        <v>1</v>
      </c>
      <c r="R189" s="2" t="str">
        <f>MID(HEX2BIN($M189,8),COLUMNS($M189:Q189),1)</f>
        <v>0</v>
      </c>
      <c r="S189" s="2" t="str">
        <f>MID(HEX2BIN($M189,8),COLUMNS($M189:R189),1)</f>
        <v>1</v>
      </c>
      <c r="T189" s="2" t="str">
        <f>MID(HEX2BIN($M189,8),COLUMNS($M189:S189),1)</f>
        <v>1</v>
      </c>
      <c r="U189" s="5" t="str">
        <f>MID(HEX2BIN($M189,8),COLUMNS($M189:T189),1)</f>
        <v>1</v>
      </c>
    </row>
    <row r="190" spans="10:21" x14ac:dyDescent="0.25">
      <c r="J190" s="64"/>
      <c r="K190" s="32"/>
      <c r="M190" s="3" t="str">
        <f t="shared" si="5"/>
        <v>B8</v>
      </c>
      <c r="N190" s="2" t="str">
        <f>MID(HEX2BIN($M190,8),COLUMNS($M190:M190),1)</f>
        <v>1</v>
      </c>
      <c r="O190" s="2" t="str">
        <f>MID(HEX2BIN($M190,8),COLUMNS($M190:N190),1)</f>
        <v>0</v>
      </c>
      <c r="P190" s="2" t="str">
        <f>MID(HEX2BIN($M190,8),COLUMNS($M190:O190),1)</f>
        <v>1</v>
      </c>
      <c r="Q190" s="2" t="str">
        <f>MID(HEX2BIN($M190,8),COLUMNS($M190:P190),1)</f>
        <v>1</v>
      </c>
      <c r="R190" s="2" t="str">
        <f>MID(HEX2BIN($M190,8),COLUMNS($M190:Q190),1)</f>
        <v>1</v>
      </c>
      <c r="S190" s="2" t="str">
        <f>MID(HEX2BIN($M190,8),COLUMNS($M190:R190),1)</f>
        <v>0</v>
      </c>
      <c r="T190" s="2" t="str">
        <f>MID(HEX2BIN($M190,8),COLUMNS($M190:S190),1)</f>
        <v>0</v>
      </c>
      <c r="U190" s="5" t="str">
        <f>MID(HEX2BIN($M190,8),COLUMNS($M190:T190),1)</f>
        <v>0</v>
      </c>
    </row>
    <row r="191" spans="10:21" x14ac:dyDescent="0.25">
      <c r="J191" s="64"/>
      <c r="K191" s="32"/>
      <c r="M191" s="3" t="str">
        <f t="shared" si="5"/>
        <v>B9</v>
      </c>
      <c r="N191" s="2" t="str">
        <f>MID(HEX2BIN($M191,8),COLUMNS($M191:M191),1)</f>
        <v>1</v>
      </c>
      <c r="O191" s="2" t="str">
        <f>MID(HEX2BIN($M191,8),COLUMNS($M191:N191),1)</f>
        <v>0</v>
      </c>
      <c r="P191" s="2" t="str">
        <f>MID(HEX2BIN($M191,8),COLUMNS($M191:O191),1)</f>
        <v>1</v>
      </c>
      <c r="Q191" s="2" t="str">
        <f>MID(HEX2BIN($M191,8),COLUMNS($M191:P191),1)</f>
        <v>1</v>
      </c>
      <c r="R191" s="2" t="str">
        <f>MID(HEX2BIN($M191,8),COLUMNS($M191:Q191),1)</f>
        <v>1</v>
      </c>
      <c r="S191" s="2" t="str">
        <f>MID(HEX2BIN($M191,8),COLUMNS($M191:R191),1)</f>
        <v>0</v>
      </c>
      <c r="T191" s="2" t="str">
        <f>MID(HEX2BIN($M191,8),COLUMNS($M191:S191),1)</f>
        <v>0</v>
      </c>
      <c r="U191" s="5" t="str">
        <f>MID(HEX2BIN($M191,8),COLUMNS($M191:T191),1)</f>
        <v>1</v>
      </c>
    </row>
    <row r="192" spans="10:21" x14ac:dyDescent="0.25">
      <c r="J192" s="64"/>
      <c r="K192" s="32"/>
      <c r="M192" s="3" t="str">
        <f t="shared" si="5"/>
        <v>BA</v>
      </c>
      <c r="N192" s="2" t="str">
        <f>MID(HEX2BIN($M192,8),COLUMNS($M192:M192),1)</f>
        <v>1</v>
      </c>
      <c r="O192" s="2" t="str">
        <f>MID(HEX2BIN($M192,8),COLUMNS($M192:N192),1)</f>
        <v>0</v>
      </c>
      <c r="P192" s="2" t="str">
        <f>MID(HEX2BIN($M192,8),COLUMNS($M192:O192),1)</f>
        <v>1</v>
      </c>
      <c r="Q192" s="2" t="str">
        <f>MID(HEX2BIN($M192,8),COLUMNS($M192:P192),1)</f>
        <v>1</v>
      </c>
      <c r="R192" s="2" t="str">
        <f>MID(HEX2BIN($M192,8),COLUMNS($M192:Q192),1)</f>
        <v>1</v>
      </c>
      <c r="S192" s="2" t="str">
        <f>MID(HEX2BIN($M192,8),COLUMNS($M192:R192),1)</f>
        <v>0</v>
      </c>
      <c r="T192" s="2" t="str">
        <f>MID(HEX2BIN($M192,8),COLUMNS($M192:S192),1)</f>
        <v>1</v>
      </c>
      <c r="U192" s="5" t="str">
        <f>MID(HEX2BIN($M192,8),COLUMNS($M192:T192),1)</f>
        <v>0</v>
      </c>
    </row>
    <row r="193" spans="10:21" x14ac:dyDescent="0.25">
      <c r="J193" s="64"/>
      <c r="K193" s="32"/>
      <c r="M193" s="3" t="str">
        <f t="shared" si="5"/>
        <v>BB</v>
      </c>
      <c r="N193" s="2" t="str">
        <f>MID(HEX2BIN($M193,8),COLUMNS($M193:M193),1)</f>
        <v>1</v>
      </c>
      <c r="O193" s="2" t="str">
        <f>MID(HEX2BIN($M193,8),COLUMNS($M193:N193),1)</f>
        <v>0</v>
      </c>
      <c r="P193" s="2" t="str">
        <f>MID(HEX2BIN($M193,8),COLUMNS($M193:O193),1)</f>
        <v>1</v>
      </c>
      <c r="Q193" s="2" t="str">
        <f>MID(HEX2BIN($M193,8),COLUMNS($M193:P193),1)</f>
        <v>1</v>
      </c>
      <c r="R193" s="2" t="str">
        <f>MID(HEX2BIN($M193,8),COLUMNS($M193:Q193),1)</f>
        <v>1</v>
      </c>
      <c r="S193" s="2" t="str">
        <f>MID(HEX2BIN($M193,8),COLUMNS($M193:R193),1)</f>
        <v>0</v>
      </c>
      <c r="T193" s="2" t="str">
        <f>MID(HEX2BIN($M193,8),COLUMNS($M193:S193),1)</f>
        <v>1</v>
      </c>
      <c r="U193" s="5" t="str">
        <f>MID(HEX2BIN($M193,8),COLUMNS($M193:T193),1)</f>
        <v>1</v>
      </c>
    </row>
    <row r="194" spans="10:21" x14ac:dyDescent="0.25">
      <c r="J194" s="64"/>
      <c r="K194" s="32"/>
      <c r="M194" s="3" t="str">
        <f t="shared" si="5"/>
        <v>BC</v>
      </c>
      <c r="N194" s="2" t="str">
        <f>MID(HEX2BIN($M194,8),COLUMNS($M194:M194),1)</f>
        <v>1</v>
      </c>
      <c r="O194" s="2" t="str">
        <f>MID(HEX2BIN($M194,8),COLUMNS($M194:N194),1)</f>
        <v>0</v>
      </c>
      <c r="P194" s="2" t="str">
        <f>MID(HEX2BIN($M194,8),COLUMNS($M194:O194),1)</f>
        <v>1</v>
      </c>
      <c r="Q194" s="2" t="str">
        <f>MID(HEX2BIN($M194,8),COLUMNS($M194:P194),1)</f>
        <v>1</v>
      </c>
      <c r="R194" s="2" t="str">
        <f>MID(HEX2BIN($M194,8),COLUMNS($M194:Q194),1)</f>
        <v>1</v>
      </c>
      <c r="S194" s="2" t="str">
        <f>MID(HEX2BIN($M194,8),COLUMNS($M194:R194),1)</f>
        <v>1</v>
      </c>
      <c r="T194" s="2" t="str">
        <f>MID(HEX2BIN($M194,8),COLUMNS($M194:S194),1)</f>
        <v>0</v>
      </c>
      <c r="U194" s="5" t="str">
        <f>MID(HEX2BIN($M194,8),COLUMNS($M194:T194),1)</f>
        <v>0</v>
      </c>
    </row>
    <row r="195" spans="10:21" x14ac:dyDescent="0.25">
      <c r="J195" s="64"/>
      <c r="K195" s="32"/>
      <c r="M195" s="3" t="str">
        <f t="shared" si="5"/>
        <v>BD</v>
      </c>
      <c r="N195" s="2" t="str">
        <f>MID(HEX2BIN($M195,8),COLUMNS($M195:M195),1)</f>
        <v>1</v>
      </c>
      <c r="O195" s="2" t="str">
        <f>MID(HEX2BIN($M195,8),COLUMNS($M195:N195),1)</f>
        <v>0</v>
      </c>
      <c r="P195" s="2" t="str">
        <f>MID(HEX2BIN($M195,8),COLUMNS($M195:O195),1)</f>
        <v>1</v>
      </c>
      <c r="Q195" s="2" t="str">
        <f>MID(HEX2BIN($M195,8),COLUMNS($M195:P195),1)</f>
        <v>1</v>
      </c>
      <c r="R195" s="2" t="str">
        <f>MID(HEX2BIN($M195,8),COLUMNS($M195:Q195),1)</f>
        <v>1</v>
      </c>
      <c r="S195" s="2" t="str">
        <f>MID(HEX2BIN($M195,8),COLUMNS($M195:R195),1)</f>
        <v>1</v>
      </c>
      <c r="T195" s="2" t="str">
        <f>MID(HEX2BIN($M195,8),COLUMNS($M195:S195),1)</f>
        <v>0</v>
      </c>
      <c r="U195" s="5" t="str">
        <f>MID(HEX2BIN($M195,8),COLUMNS($M195:T195),1)</f>
        <v>1</v>
      </c>
    </row>
    <row r="196" spans="10:21" x14ac:dyDescent="0.25">
      <c r="J196" s="64"/>
      <c r="K196" s="32"/>
      <c r="M196" s="3" t="str">
        <f t="shared" si="5"/>
        <v>BE</v>
      </c>
      <c r="N196" s="2" t="str">
        <f>MID(HEX2BIN($M196,8),COLUMNS($M196:M196),1)</f>
        <v>1</v>
      </c>
      <c r="O196" s="2" t="str">
        <f>MID(HEX2BIN($M196,8),COLUMNS($M196:N196),1)</f>
        <v>0</v>
      </c>
      <c r="P196" s="2" t="str">
        <f>MID(HEX2BIN($M196,8),COLUMNS($M196:O196),1)</f>
        <v>1</v>
      </c>
      <c r="Q196" s="2" t="str">
        <f>MID(HEX2BIN($M196,8),COLUMNS($M196:P196),1)</f>
        <v>1</v>
      </c>
      <c r="R196" s="2" t="str">
        <f>MID(HEX2BIN($M196,8),COLUMNS($M196:Q196),1)</f>
        <v>1</v>
      </c>
      <c r="S196" s="2" t="str">
        <f>MID(HEX2BIN($M196,8),COLUMNS($M196:R196),1)</f>
        <v>1</v>
      </c>
      <c r="T196" s="2" t="str">
        <f>MID(HEX2BIN($M196,8),COLUMNS($M196:S196),1)</f>
        <v>1</v>
      </c>
      <c r="U196" s="5" t="str">
        <f>MID(HEX2BIN($M196,8),COLUMNS($M196:T196),1)</f>
        <v>0</v>
      </c>
    </row>
    <row r="197" spans="10:21" x14ac:dyDescent="0.25">
      <c r="J197" s="64"/>
      <c r="K197" s="32"/>
      <c r="M197" s="3" t="str">
        <f t="shared" si="5"/>
        <v>BF</v>
      </c>
      <c r="N197" s="2" t="str">
        <f>MID(HEX2BIN($M197,8),COLUMNS($M197:M197),1)</f>
        <v>1</v>
      </c>
      <c r="O197" s="2" t="str">
        <f>MID(HEX2BIN($M197,8),COLUMNS($M197:N197),1)</f>
        <v>0</v>
      </c>
      <c r="P197" s="2" t="str">
        <f>MID(HEX2BIN($M197,8),COLUMNS($M197:O197),1)</f>
        <v>1</v>
      </c>
      <c r="Q197" s="2" t="str">
        <f>MID(HEX2BIN($M197,8),COLUMNS($M197:P197),1)</f>
        <v>1</v>
      </c>
      <c r="R197" s="2" t="str">
        <f>MID(HEX2BIN($M197,8),COLUMNS($M197:Q197),1)</f>
        <v>1</v>
      </c>
      <c r="S197" s="2" t="str">
        <f>MID(HEX2BIN($M197,8),COLUMNS($M197:R197),1)</f>
        <v>1</v>
      </c>
      <c r="T197" s="2" t="str">
        <f>MID(HEX2BIN($M197,8),COLUMNS($M197:S197),1)</f>
        <v>1</v>
      </c>
      <c r="U197" s="5" t="str">
        <f>MID(HEX2BIN($M197,8),COLUMNS($M197:T197),1)</f>
        <v>1</v>
      </c>
    </row>
    <row r="198" spans="10:21" x14ac:dyDescent="0.25">
      <c r="J198" s="64"/>
      <c r="K198" s="32"/>
      <c r="M198" s="3" t="str">
        <f t="shared" ref="M198:M261" si="6">DEC2HEX(ROW()-$B$1,2)</f>
        <v>C0</v>
      </c>
      <c r="N198" s="2" t="str">
        <f>MID(HEX2BIN($M198,8),COLUMNS($M198:M198),1)</f>
        <v>1</v>
      </c>
      <c r="O198" s="2" t="str">
        <f>MID(HEX2BIN($M198,8),COLUMNS($M198:N198),1)</f>
        <v>1</v>
      </c>
      <c r="P198" s="2" t="str">
        <f>MID(HEX2BIN($M198,8),COLUMNS($M198:O198),1)</f>
        <v>0</v>
      </c>
      <c r="Q198" s="2" t="str">
        <f>MID(HEX2BIN($M198,8),COLUMNS($M198:P198),1)</f>
        <v>0</v>
      </c>
      <c r="R198" s="2" t="str">
        <f>MID(HEX2BIN($M198,8),COLUMNS($M198:Q198),1)</f>
        <v>0</v>
      </c>
      <c r="S198" s="2" t="str">
        <f>MID(HEX2BIN($M198,8),COLUMNS($M198:R198),1)</f>
        <v>0</v>
      </c>
      <c r="T198" s="2" t="str">
        <f>MID(HEX2BIN($M198,8),COLUMNS($M198:S198),1)</f>
        <v>0</v>
      </c>
      <c r="U198" s="5" t="str">
        <f>MID(HEX2BIN($M198,8),COLUMNS($M198:T198),1)</f>
        <v>0</v>
      </c>
    </row>
    <row r="199" spans="10:21" x14ac:dyDescent="0.25">
      <c r="J199" s="64"/>
      <c r="K199" s="32"/>
      <c r="M199" s="3" t="str">
        <f t="shared" si="6"/>
        <v>C1</v>
      </c>
      <c r="N199" s="2" t="str">
        <f>MID(HEX2BIN($M199,8),COLUMNS($M199:M199),1)</f>
        <v>1</v>
      </c>
      <c r="O199" s="2" t="str">
        <f>MID(HEX2BIN($M199,8),COLUMNS($M199:N199),1)</f>
        <v>1</v>
      </c>
      <c r="P199" s="2" t="str">
        <f>MID(HEX2BIN($M199,8),COLUMNS($M199:O199),1)</f>
        <v>0</v>
      </c>
      <c r="Q199" s="2" t="str">
        <f>MID(HEX2BIN($M199,8),COLUMNS($M199:P199),1)</f>
        <v>0</v>
      </c>
      <c r="R199" s="2" t="str">
        <f>MID(HEX2BIN($M199,8),COLUMNS($M199:Q199),1)</f>
        <v>0</v>
      </c>
      <c r="S199" s="2" t="str">
        <f>MID(HEX2BIN($M199,8),COLUMNS($M199:R199),1)</f>
        <v>0</v>
      </c>
      <c r="T199" s="2" t="str">
        <f>MID(HEX2BIN($M199,8),COLUMNS($M199:S199),1)</f>
        <v>0</v>
      </c>
      <c r="U199" s="5" t="str">
        <f>MID(HEX2BIN($M199,8),COLUMNS($M199:T199),1)</f>
        <v>1</v>
      </c>
    </row>
    <row r="200" spans="10:21" x14ac:dyDescent="0.25">
      <c r="J200" s="64"/>
      <c r="K200" s="32"/>
      <c r="M200" s="3" t="str">
        <f t="shared" si="6"/>
        <v>C2</v>
      </c>
      <c r="N200" s="2" t="str">
        <f>MID(HEX2BIN($M200,8),COLUMNS($M200:M200),1)</f>
        <v>1</v>
      </c>
      <c r="O200" s="2" t="str">
        <f>MID(HEX2BIN($M200,8),COLUMNS($M200:N200),1)</f>
        <v>1</v>
      </c>
      <c r="P200" s="2" t="str">
        <f>MID(HEX2BIN($M200,8),COLUMNS($M200:O200),1)</f>
        <v>0</v>
      </c>
      <c r="Q200" s="2" t="str">
        <f>MID(HEX2BIN($M200,8),COLUMNS($M200:P200),1)</f>
        <v>0</v>
      </c>
      <c r="R200" s="2" t="str">
        <f>MID(HEX2BIN($M200,8),COLUMNS($M200:Q200),1)</f>
        <v>0</v>
      </c>
      <c r="S200" s="2" t="str">
        <f>MID(HEX2BIN($M200,8),COLUMNS($M200:R200),1)</f>
        <v>0</v>
      </c>
      <c r="T200" s="2" t="str">
        <f>MID(HEX2BIN($M200,8),COLUMNS($M200:S200),1)</f>
        <v>1</v>
      </c>
      <c r="U200" s="5" t="str">
        <f>MID(HEX2BIN($M200,8),COLUMNS($M200:T200),1)</f>
        <v>0</v>
      </c>
    </row>
    <row r="201" spans="10:21" x14ac:dyDescent="0.25">
      <c r="J201" s="64"/>
      <c r="K201" s="32"/>
      <c r="M201" s="3" t="str">
        <f t="shared" si="6"/>
        <v>C3</v>
      </c>
      <c r="N201" s="2" t="str">
        <f>MID(HEX2BIN($M201,8),COLUMNS($M201:M201),1)</f>
        <v>1</v>
      </c>
      <c r="O201" s="2" t="str">
        <f>MID(HEX2BIN($M201,8),COLUMNS($M201:N201),1)</f>
        <v>1</v>
      </c>
      <c r="P201" s="2" t="str">
        <f>MID(HEX2BIN($M201,8),COLUMNS($M201:O201),1)</f>
        <v>0</v>
      </c>
      <c r="Q201" s="2" t="str">
        <f>MID(HEX2BIN($M201,8),COLUMNS($M201:P201),1)</f>
        <v>0</v>
      </c>
      <c r="R201" s="2" t="str">
        <f>MID(HEX2BIN($M201,8),COLUMNS($M201:Q201),1)</f>
        <v>0</v>
      </c>
      <c r="S201" s="2" t="str">
        <f>MID(HEX2BIN($M201,8),COLUMNS($M201:R201),1)</f>
        <v>0</v>
      </c>
      <c r="T201" s="2" t="str">
        <f>MID(HEX2BIN($M201,8),COLUMNS($M201:S201),1)</f>
        <v>1</v>
      </c>
      <c r="U201" s="5" t="str">
        <f>MID(HEX2BIN($M201,8),COLUMNS($M201:T201),1)</f>
        <v>1</v>
      </c>
    </row>
    <row r="202" spans="10:21" x14ac:dyDescent="0.25">
      <c r="J202" s="64"/>
      <c r="K202" s="32"/>
      <c r="M202" s="3" t="str">
        <f t="shared" si="6"/>
        <v>C4</v>
      </c>
      <c r="N202" s="2" t="str">
        <f>MID(HEX2BIN($M202,8),COLUMNS($M202:M202),1)</f>
        <v>1</v>
      </c>
      <c r="O202" s="2" t="str">
        <f>MID(HEX2BIN($M202,8),COLUMNS($M202:N202),1)</f>
        <v>1</v>
      </c>
      <c r="P202" s="2" t="str">
        <f>MID(HEX2BIN($M202,8),COLUMNS($M202:O202),1)</f>
        <v>0</v>
      </c>
      <c r="Q202" s="2" t="str">
        <f>MID(HEX2BIN($M202,8),COLUMNS($M202:P202),1)</f>
        <v>0</v>
      </c>
      <c r="R202" s="2" t="str">
        <f>MID(HEX2BIN($M202,8),COLUMNS($M202:Q202),1)</f>
        <v>0</v>
      </c>
      <c r="S202" s="2" t="str">
        <f>MID(HEX2BIN($M202,8),COLUMNS($M202:R202),1)</f>
        <v>1</v>
      </c>
      <c r="T202" s="2" t="str">
        <f>MID(HEX2BIN($M202,8),COLUMNS($M202:S202),1)</f>
        <v>0</v>
      </c>
      <c r="U202" s="5" t="str">
        <f>MID(HEX2BIN($M202,8),COLUMNS($M202:T202),1)</f>
        <v>0</v>
      </c>
    </row>
    <row r="203" spans="10:21" x14ac:dyDescent="0.25">
      <c r="J203" s="64"/>
      <c r="K203" s="32"/>
      <c r="M203" s="3" t="str">
        <f t="shared" si="6"/>
        <v>C5</v>
      </c>
      <c r="N203" s="2" t="str">
        <f>MID(HEX2BIN($M203,8),COLUMNS($M203:M203),1)</f>
        <v>1</v>
      </c>
      <c r="O203" s="2" t="str">
        <f>MID(HEX2BIN($M203,8),COLUMNS($M203:N203),1)</f>
        <v>1</v>
      </c>
      <c r="P203" s="2" t="str">
        <f>MID(HEX2BIN($M203,8),COLUMNS($M203:O203),1)</f>
        <v>0</v>
      </c>
      <c r="Q203" s="2" t="str">
        <f>MID(HEX2BIN($M203,8),COLUMNS($M203:P203),1)</f>
        <v>0</v>
      </c>
      <c r="R203" s="2" t="str">
        <f>MID(HEX2BIN($M203,8),COLUMNS($M203:Q203),1)</f>
        <v>0</v>
      </c>
      <c r="S203" s="2" t="str">
        <f>MID(HEX2BIN($M203,8),COLUMNS($M203:R203),1)</f>
        <v>1</v>
      </c>
      <c r="T203" s="2" t="str">
        <f>MID(HEX2BIN($M203,8),COLUMNS($M203:S203),1)</f>
        <v>0</v>
      </c>
      <c r="U203" s="5" t="str">
        <f>MID(HEX2BIN($M203,8),COLUMNS($M203:T203),1)</f>
        <v>1</v>
      </c>
    </row>
    <row r="204" spans="10:21" x14ac:dyDescent="0.25">
      <c r="J204" s="64"/>
      <c r="K204" s="32"/>
      <c r="M204" s="3" t="str">
        <f t="shared" si="6"/>
        <v>C6</v>
      </c>
      <c r="N204" s="2" t="str">
        <f>MID(HEX2BIN($M204,8),COLUMNS($M204:M204),1)</f>
        <v>1</v>
      </c>
      <c r="O204" s="2" t="str">
        <f>MID(HEX2BIN($M204,8),COLUMNS($M204:N204),1)</f>
        <v>1</v>
      </c>
      <c r="P204" s="2" t="str">
        <f>MID(HEX2BIN($M204,8),COLUMNS($M204:O204),1)</f>
        <v>0</v>
      </c>
      <c r="Q204" s="2" t="str">
        <f>MID(HEX2BIN($M204,8),COLUMNS($M204:P204),1)</f>
        <v>0</v>
      </c>
      <c r="R204" s="2" t="str">
        <f>MID(HEX2BIN($M204,8),COLUMNS($M204:Q204),1)</f>
        <v>0</v>
      </c>
      <c r="S204" s="2" t="str">
        <f>MID(HEX2BIN($M204,8),COLUMNS($M204:R204),1)</f>
        <v>1</v>
      </c>
      <c r="T204" s="2" t="str">
        <f>MID(HEX2BIN($M204,8),COLUMNS($M204:S204),1)</f>
        <v>1</v>
      </c>
      <c r="U204" s="5" t="str">
        <f>MID(HEX2BIN($M204,8),COLUMNS($M204:T204),1)</f>
        <v>0</v>
      </c>
    </row>
    <row r="205" spans="10:21" x14ac:dyDescent="0.25">
      <c r="J205" s="64"/>
      <c r="K205" s="32"/>
      <c r="M205" s="3" t="str">
        <f t="shared" si="6"/>
        <v>C7</v>
      </c>
      <c r="N205" s="2" t="str">
        <f>MID(HEX2BIN($M205,8),COLUMNS($M205:M205),1)</f>
        <v>1</v>
      </c>
      <c r="O205" s="2" t="str">
        <f>MID(HEX2BIN($M205,8),COLUMNS($M205:N205),1)</f>
        <v>1</v>
      </c>
      <c r="P205" s="2" t="str">
        <f>MID(HEX2BIN($M205,8),COLUMNS($M205:O205),1)</f>
        <v>0</v>
      </c>
      <c r="Q205" s="2" t="str">
        <f>MID(HEX2BIN($M205,8),COLUMNS($M205:P205),1)</f>
        <v>0</v>
      </c>
      <c r="R205" s="2" t="str">
        <f>MID(HEX2BIN($M205,8),COLUMNS($M205:Q205),1)</f>
        <v>0</v>
      </c>
      <c r="S205" s="2" t="str">
        <f>MID(HEX2BIN($M205,8),COLUMNS($M205:R205),1)</f>
        <v>1</v>
      </c>
      <c r="T205" s="2" t="str">
        <f>MID(HEX2BIN($M205,8),COLUMNS($M205:S205),1)</f>
        <v>1</v>
      </c>
      <c r="U205" s="5" t="str">
        <f>MID(HEX2BIN($M205,8),COLUMNS($M205:T205),1)</f>
        <v>1</v>
      </c>
    </row>
    <row r="206" spans="10:21" x14ac:dyDescent="0.25">
      <c r="J206" s="64"/>
      <c r="K206" s="32"/>
      <c r="M206" s="3" t="str">
        <f t="shared" si="6"/>
        <v>C8</v>
      </c>
      <c r="N206" s="2" t="str">
        <f>MID(HEX2BIN($M206,8),COLUMNS($M206:M206),1)</f>
        <v>1</v>
      </c>
      <c r="O206" s="2" t="str">
        <f>MID(HEX2BIN($M206,8),COLUMNS($M206:N206),1)</f>
        <v>1</v>
      </c>
      <c r="P206" s="2" t="str">
        <f>MID(HEX2BIN($M206,8),COLUMNS($M206:O206),1)</f>
        <v>0</v>
      </c>
      <c r="Q206" s="2" t="str">
        <f>MID(HEX2BIN($M206,8),COLUMNS($M206:P206),1)</f>
        <v>0</v>
      </c>
      <c r="R206" s="2" t="str">
        <f>MID(HEX2BIN($M206,8),COLUMNS($M206:Q206),1)</f>
        <v>1</v>
      </c>
      <c r="S206" s="2" t="str">
        <f>MID(HEX2BIN($M206,8),COLUMNS($M206:R206),1)</f>
        <v>0</v>
      </c>
      <c r="T206" s="2" t="str">
        <f>MID(HEX2BIN($M206,8),COLUMNS($M206:S206),1)</f>
        <v>0</v>
      </c>
      <c r="U206" s="5" t="str">
        <f>MID(HEX2BIN($M206,8),COLUMNS($M206:T206),1)</f>
        <v>0</v>
      </c>
    </row>
    <row r="207" spans="10:21" x14ac:dyDescent="0.25">
      <c r="J207" s="64"/>
      <c r="K207" s="32"/>
      <c r="M207" s="3" t="str">
        <f t="shared" si="6"/>
        <v>C9</v>
      </c>
      <c r="N207" s="2" t="str">
        <f>MID(HEX2BIN($M207,8),COLUMNS($M207:M207),1)</f>
        <v>1</v>
      </c>
      <c r="O207" s="2" t="str">
        <f>MID(HEX2BIN($M207,8),COLUMNS($M207:N207),1)</f>
        <v>1</v>
      </c>
      <c r="P207" s="2" t="str">
        <f>MID(HEX2BIN($M207,8),COLUMNS($M207:O207),1)</f>
        <v>0</v>
      </c>
      <c r="Q207" s="2" t="str">
        <f>MID(HEX2BIN($M207,8),COLUMNS($M207:P207),1)</f>
        <v>0</v>
      </c>
      <c r="R207" s="2" t="str">
        <f>MID(HEX2BIN($M207,8),COLUMNS($M207:Q207),1)</f>
        <v>1</v>
      </c>
      <c r="S207" s="2" t="str">
        <f>MID(HEX2BIN($M207,8),COLUMNS($M207:R207),1)</f>
        <v>0</v>
      </c>
      <c r="T207" s="2" t="str">
        <f>MID(HEX2BIN($M207,8),COLUMNS($M207:S207),1)</f>
        <v>0</v>
      </c>
      <c r="U207" s="5" t="str">
        <f>MID(HEX2BIN($M207,8),COLUMNS($M207:T207),1)</f>
        <v>1</v>
      </c>
    </row>
    <row r="208" spans="10:21" x14ac:dyDescent="0.25">
      <c r="J208" s="64"/>
      <c r="K208" s="32"/>
      <c r="M208" s="3" t="str">
        <f t="shared" si="6"/>
        <v>CA</v>
      </c>
      <c r="N208" s="2" t="str">
        <f>MID(HEX2BIN($M208,8),COLUMNS($M208:M208),1)</f>
        <v>1</v>
      </c>
      <c r="O208" s="2" t="str">
        <f>MID(HEX2BIN($M208,8),COLUMNS($M208:N208),1)</f>
        <v>1</v>
      </c>
      <c r="P208" s="2" t="str">
        <f>MID(HEX2BIN($M208,8),COLUMNS($M208:O208),1)</f>
        <v>0</v>
      </c>
      <c r="Q208" s="2" t="str">
        <f>MID(HEX2BIN($M208,8),COLUMNS($M208:P208),1)</f>
        <v>0</v>
      </c>
      <c r="R208" s="2" t="str">
        <f>MID(HEX2BIN($M208,8),COLUMNS($M208:Q208),1)</f>
        <v>1</v>
      </c>
      <c r="S208" s="2" t="str">
        <f>MID(HEX2BIN($M208,8),COLUMNS($M208:R208),1)</f>
        <v>0</v>
      </c>
      <c r="T208" s="2" t="str">
        <f>MID(HEX2BIN($M208,8),COLUMNS($M208:S208),1)</f>
        <v>1</v>
      </c>
      <c r="U208" s="5" t="str">
        <f>MID(HEX2BIN($M208,8),COLUMNS($M208:T208),1)</f>
        <v>0</v>
      </c>
    </row>
    <row r="209" spans="10:21" x14ac:dyDescent="0.25">
      <c r="J209" s="64"/>
      <c r="K209" s="32"/>
      <c r="M209" s="3" t="str">
        <f t="shared" si="6"/>
        <v>CB</v>
      </c>
      <c r="N209" s="2" t="str">
        <f>MID(HEX2BIN($M209,8),COLUMNS($M209:M209),1)</f>
        <v>1</v>
      </c>
      <c r="O209" s="2" t="str">
        <f>MID(HEX2BIN($M209,8),COLUMNS($M209:N209),1)</f>
        <v>1</v>
      </c>
      <c r="P209" s="2" t="str">
        <f>MID(HEX2BIN($M209,8),COLUMNS($M209:O209),1)</f>
        <v>0</v>
      </c>
      <c r="Q209" s="2" t="str">
        <f>MID(HEX2BIN($M209,8),COLUMNS($M209:P209),1)</f>
        <v>0</v>
      </c>
      <c r="R209" s="2" t="str">
        <f>MID(HEX2BIN($M209,8),COLUMNS($M209:Q209),1)</f>
        <v>1</v>
      </c>
      <c r="S209" s="2" t="str">
        <f>MID(HEX2BIN($M209,8),COLUMNS($M209:R209),1)</f>
        <v>0</v>
      </c>
      <c r="T209" s="2" t="str">
        <f>MID(HEX2BIN($M209,8),COLUMNS($M209:S209),1)</f>
        <v>1</v>
      </c>
      <c r="U209" s="5" t="str">
        <f>MID(HEX2BIN($M209,8),COLUMNS($M209:T209),1)</f>
        <v>1</v>
      </c>
    </row>
    <row r="210" spans="10:21" x14ac:dyDescent="0.25">
      <c r="J210" s="64"/>
      <c r="K210" s="32"/>
      <c r="M210" s="3" t="str">
        <f t="shared" si="6"/>
        <v>CC</v>
      </c>
      <c r="N210" s="2" t="str">
        <f>MID(HEX2BIN($M210,8),COLUMNS($M210:M210),1)</f>
        <v>1</v>
      </c>
      <c r="O210" s="2" t="str">
        <f>MID(HEX2BIN($M210,8),COLUMNS($M210:N210),1)</f>
        <v>1</v>
      </c>
      <c r="P210" s="2" t="str">
        <f>MID(HEX2BIN($M210,8),COLUMNS($M210:O210),1)</f>
        <v>0</v>
      </c>
      <c r="Q210" s="2" t="str">
        <f>MID(HEX2BIN($M210,8),COLUMNS($M210:P210),1)</f>
        <v>0</v>
      </c>
      <c r="R210" s="2" t="str">
        <f>MID(HEX2BIN($M210,8),COLUMNS($M210:Q210),1)</f>
        <v>1</v>
      </c>
      <c r="S210" s="2" t="str">
        <f>MID(HEX2BIN($M210,8),COLUMNS($M210:R210),1)</f>
        <v>1</v>
      </c>
      <c r="T210" s="2" t="str">
        <f>MID(HEX2BIN($M210,8),COLUMNS($M210:S210),1)</f>
        <v>0</v>
      </c>
      <c r="U210" s="5" t="str">
        <f>MID(HEX2BIN($M210,8),COLUMNS($M210:T210),1)</f>
        <v>0</v>
      </c>
    </row>
    <row r="211" spans="10:21" x14ac:dyDescent="0.25">
      <c r="J211" s="64"/>
      <c r="K211" s="32"/>
      <c r="M211" s="3" t="str">
        <f t="shared" si="6"/>
        <v>CD</v>
      </c>
      <c r="N211" s="2" t="str">
        <f>MID(HEX2BIN($M211,8),COLUMNS($M211:M211),1)</f>
        <v>1</v>
      </c>
      <c r="O211" s="2" t="str">
        <f>MID(HEX2BIN($M211,8),COLUMNS($M211:N211),1)</f>
        <v>1</v>
      </c>
      <c r="P211" s="2" t="str">
        <f>MID(HEX2BIN($M211,8),COLUMNS($M211:O211),1)</f>
        <v>0</v>
      </c>
      <c r="Q211" s="2" t="str">
        <f>MID(HEX2BIN($M211,8),COLUMNS($M211:P211),1)</f>
        <v>0</v>
      </c>
      <c r="R211" s="2" t="str">
        <f>MID(HEX2BIN($M211,8),COLUMNS($M211:Q211),1)</f>
        <v>1</v>
      </c>
      <c r="S211" s="2" t="str">
        <f>MID(HEX2BIN($M211,8),COLUMNS($M211:R211),1)</f>
        <v>1</v>
      </c>
      <c r="T211" s="2" t="str">
        <f>MID(HEX2BIN($M211,8),COLUMNS($M211:S211),1)</f>
        <v>0</v>
      </c>
      <c r="U211" s="5" t="str">
        <f>MID(HEX2BIN($M211,8),COLUMNS($M211:T211),1)</f>
        <v>1</v>
      </c>
    </row>
    <row r="212" spans="10:21" x14ac:dyDescent="0.25">
      <c r="J212" s="64"/>
      <c r="K212" s="32"/>
      <c r="M212" s="3" t="str">
        <f t="shared" si="6"/>
        <v>CE</v>
      </c>
      <c r="N212" s="2" t="str">
        <f>MID(HEX2BIN($M212,8),COLUMNS($M212:M212),1)</f>
        <v>1</v>
      </c>
      <c r="O212" s="2" t="str">
        <f>MID(HEX2BIN($M212,8),COLUMNS($M212:N212),1)</f>
        <v>1</v>
      </c>
      <c r="P212" s="2" t="str">
        <f>MID(HEX2BIN($M212,8),COLUMNS($M212:O212),1)</f>
        <v>0</v>
      </c>
      <c r="Q212" s="2" t="str">
        <f>MID(HEX2BIN($M212,8),COLUMNS($M212:P212),1)</f>
        <v>0</v>
      </c>
      <c r="R212" s="2" t="str">
        <f>MID(HEX2BIN($M212,8),COLUMNS($M212:Q212),1)</f>
        <v>1</v>
      </c>
      <c r="S212" s="2" t="str">
        <f>MID(HEX2BIN($M212,8),COLUMNS($M212:R212),1)</f>
        <v>1</v>
      </c>
      <c r="T212" s="2" t="str">
        <f>MID(HEX2BIN($M212,8),COLUMNS($M212:S212),1)</f>
        <v>1</v>
      </c>
      <c r="U212" s="5" t="str">
        <f>MID(HEX2BIN($M212,8),COLUMNS($M212:T212),1)</f>
        <v>0</v>
      </c>
    </row>
    <row r="213" spans="10:21" x14ac:dyDescent="0.25">
      <c r="J213" s="64"/>
      <c r="K213" s="32"/>
      <c r="M213" s="3" t="str">
        <f t="shared" si="6"/>
        <v>CF</v>
      </c>
      <c r="N213" s="2" t="str">
        <f>MID(HEX2BIN($M213,8),COLUMNS($M213:M213),1)</f>
        <v>1</v>
      </c>
      <c r="O213" s="2" t="str">
        <f>MID(HEX2BIN($M213,8),COLUMNS($M213:N213),1)</f>
        <v>1</v>
      </c>
      <c r="P213" s="2" t="str">
        <f>MID(HEX2BIN($M213,8),COLUMNS($M213:O213),1)</f>
        <v>0</v>
      </c>
      <c r="Q213" s="2" t="str">
        <f>MID(HEX2BIN($M213,8),COLUMNS($M213:P213),1)</f>
        <v>0</v>
      </c>
      <c r="R213" s="2" t="str">
        <f>MID(HEX2BIN($M213,8),COLUMNS($M213:Q213),1)</f>
        <v>1</v>
      </c>
      <c r="S213" s="2" t="str">
        <f>MID(HEX2BIN($M213,8),COLUMNS($M213:R213),1)</f>
        <v>1</v>
      </c>
      <c r="T213" s="2" t="str">
        <f>MID(HEX2BIN($M213,8),COLUMNS($M213:S213),1)</f>
        <v>1</v>
      </c>
      <c r="U213" s="5" t="str">
        <f>MID(HEX2BIN($M213,8),COLUMNS($M213:T213),1)</f>
        <v>1</v>
      </c>
    </row>
    <row r="214" spans="10:21" x14ac:dyDescent="0.25">
      <c r="J214" s="64"/>
      <c r="K214" s="32"/>
      <c r="M214" s="3" t="str">
        <f t="shared" si="6"/>
        <v>D0</v>
      </c>
      <c r="N214" s="2" t="str">
        <f>MID(HEX2BIN($M214,8),COLUMNS($M214:M214),1)</f>
        <v>1</v>
      </c>
      <c r="O214" s="2" t="str">
        <f>MID(HEX2BIN($M214,8),COLUMNS($M214:N214),1)</f>
        <v>1</v>
      </c>
      <c r="P214" s="2" t="str">
        <f>MID(HEX2BIN($M214,8),COLUMNS($M214:O214),1)</f>
        <v>0</v>
      </c>
      <c r="Q214" s="2" t="str">
        <f>MID(HEX2BIN($M214,8),COLUMNS($M214:P214),1)</f>
        <v>1</v>
      </c>
      <c r="R214" s="2" t="str">
        <f>MID(HEX2BIN($M214,8),COLUMNS($M214:Q214),1)</f>
        <v>0</v>
      </c>
      <c r="S214" s="2" t="str">
        <f>MID(HEX2BIN($M214,8),COLUMNS($M214:R214),1)</f>
        <v>0</v>
      </c>
      <c r="T214" s="2" t="str">
        <f>MID(HEX2BIN($M214,8),COLUMNS($M214:S214),1)</f>
        <v>0</v>
      </c>
      <c r="U214" s="5" t="str">
        <f>MID(HEX2BIN($M214,8),COLUMNS($M214:T214),1)</f>
        <v>0</v>
      </c>
    </row>
    <row r="215" spans="10:21" x14ac:dyDescent="0.25">
      <c r="J215" s="64"/>
      <c r="K215" s="32"/>
      <c r="M215" s="3" t="str">
        <f t="shared" si="6"/>
        <v>D1</v>
      </c>
      <c r="N215" s="2" t="str">
        <f>MID(HEX2BIN($M215,8),COLUMNS($M215:M215),1)</f>
        <v>1</v>
      </c>
      <c r="O215" s="2" t="str">
        <f>MID(HEX2BIN($M215,8),COLUMNS($M215:N215),1)</f>
        <v>1</v>
      </c>
      <c r="P215" s="2" t="str">
        <f>MID(HEX2BIN($M215,8),COLUMNS($M215:O215),1)</f>
        <v>0</v>
      </c>
      <c r="Q215" s="2" t="str">
        <f>MID(HEX2BIN($M215,8),COLUMNS($M215:P215),1)</f>
        <v>1</v>
      </c>
      <c r="R215" s="2" t="str">
        <f>MID(HEX2BIN($M215,8),COLUMNS($M215:Q215),1)</f>
        <v>0</v>
      </c>
      <c r="S215" s="2" t="str">
        <f>MID(HEX2BIN($M215,8),COLUMNS($M215:R215),1)</f>
        <v>0</v>
      </c>
      <c r="T215" s="2" t="str">
        <f>MID(HEX2BIN($M215,8),COLUMNS($M215:S215),1)</f>
        <v>0</v>
      </c>
      <c r="U215" s="5" t="str">
        <f>MID(HEX2BIN($M215,8),COLUMNS($M215:T215),1)</f>
        <v>1</v>
      </c>
    </row>
    <row r="216" spans="10:21" x14ac:dyDescent="0.25">
      <c r="J216" s="64"/>
      <c r="K216" s="32"/>
      <c r="M216" s="3" t="str">
        <f t="shared" si="6"/>
        <v>D2</v>
      </c>
      <c r="N216" s="2" t="str">
        <f>MID(HEX2BIN($M216,8),COLUMNS($M216:M216),1)</f>
        <v>1</v>
      </c>
      <c r="O216" s="2" t="str">
        <f>MID(HEX2BIN($M216,8),COLUMNS($M216:N216),1)</f>
        <v>1</v>
      </c>
      <c r="P216" s="2" t="str">
        <f>MID(HEX2BIN($M216,8),COLUMNS($M216:O216),1)</f>
        <v>0</v>
      </c>
      <c r="Q216" s="2" t="str">
        <f>MID(HEX2BIN($M216,8),COLUMNS($M216:P216),1)</f>
        <v>1</v>
      </c>
      <c r="R216" s="2" t="str">
        <f>MID(HEX2BIN($M216,8),COLUMNS($M216:Q216),1)</f>
        <v>0</v>
      </c>
      <c r="S216" s="2" t="str">
        <f>MID(HEX2BIN($M216,8),COLUMNS($M216:R216),1)</f>
        <v>0</v>
      </c>
      <c r="T216" s="2" t="str">
        <f>MID(HEX2BIN($M216,8),COLUMNS($M216:S216),1)</f>
        <v>1</v>
      </c>
      <c r="U216" s="5" t="str">
        <f>MID(HEX2BIN($M216,8),COLUMNS($M216:T216),1)</f>
        <v>0</v>
      </c>
    </row>
    <row r="217" spans="10:21" x14ac:dyDescent="0.25">
      <c r="J217" s="64"/>
      <c r="K217" s="32"/>
      <c r="M217" s="3" t="str">
        <f t="shared" si="6"/>
        <v>D3</v>
      </c>
      <c r="N217" s="2" t="str">
        <f>MID(HEX2BIN($M217,8),COLUMNS($M217:M217),1)</f>
        <v>1</v>
      </c>
      <c r="O217" s="2" t="str">
        <f>MID(HEX2BIN($M217,8),COLUMNS($M217:N217),1)</f>
        <v>1</v>
      </c>
      <c r="P217" s="2" t="str">
        <f>MID(HEX2BIN($M217,8),COLUMNS($M217:O217),1)</f>
        <v>0</v>
      </c>
      <c r="Q217" s="2" t="str">
        <f>MID(HEX2BIN($M217,8),COLUMNS($M217:P217),1)</f>
        <v>1</v>
      </c>
      <c r="R217" s="2" t="str">
        <f>MID(HEX2BIN($M217,8),COLUMNS($M217:Q217),1)</f>
        <v>0</v>
      </c>
      <c r="S217" s="2" t="str">
        <f>MID(HEX2BIN($M217,8),COLUMNS($M217:R217),1)</f>
        <v>0</v>
      </c>
      <c r="T217" s="2" t="str">
        <f>MID(HEX2BIN($M217,8),COLUMNS($M217:S217),1)</f>
        <v>1</v>
      </c>
      <c r="U217" s="5" t="str">
        <f>MID(HEX2BIN($M217,8),COLUMNS($M217:T217),1)</f>
        <v>1</v>
      </c>
    </row>
    <row r="218" spans="10:21" x14ac:dyDescent="0.25">
      <c r="J218" s="64"/>
      <c r="K218" s="32"/>
      <c r="M218" s="3" t="str">
        <f t="shared" si="6"/>
        <v>D4</v>
      </c>
      <c r="N218" s="2" t="str">
        <f>MID(HEX2BIN($M218,8),COLUMNS($M218:M218),1)</f>
        <v>1</v>
      </c>
      <c r="O218" s="2" t="str">
        <f>MID(HEX2BIN($M218,8),COLUMNS($M218:N218),1)</f>
        <v>1</v>
      </c>
      <c r="P218" s="2" t="str">
        <f>MID(HEX2BIN($M218,8),COLUMNS($M218:O218),1)</f>
        <v>0</v>
      </c>
      <c r="Q218" s="2" t="str">
        <f>MID(HEX2BIN($M218,8),COLUMNS($M218:P218),1)</f>
        <v>1</v>
      </c>
      <c r="R218" s="2" t="str">
        <f>MID(HEX2BIN($M218,8),COLUMNS($M218:Q218),1)</f>
        <v>0</v>
      </c>
      <c r="S218" s="2" t="str">
        <f>MID(HEX2BIN($M218,8),COLUMNS($M218:R218),1)</f>
        <v>1</v>
      </c>
      <c r="T218" s="2" t="str">
        <f>MID(HEX2BIN($M218,8),COLUMNS($M218:S218),1)</f>
        <v>0</v>
      </c>
      <c r="U218" s="5" t="str">
        <f>MID(HEX2BIN($M218,8),COLUMNS($M218:T218),1)</f>
        <v>0</v>
      </c>
    </row>
    <row r="219" spans="10:21" x14ac:dyDescent="0.25">
      <c r="J219" s="64"/>
      <c r="K219" s="32"/>
      <c r="M219" s="3" t="str">
        <f t="shared" si="6"/>
        <v>D5</v>
      </c>
      <c r="N219" s="2" t="str">
        <f>MID(HEX2BIN($M219,8),COLUMNS($M219:M219),1)</f>
        <v>1</v>
      </c>
      <c r="O219" s="2" t="str">
        <f>MID(HEX2BIN($M219,8),COLUMNS($M219:N219),1)</f>
        <v>1</v>
      </c>
      <c r="P219" s="2" t="str">
        <f>MID(HEX2BIN($M219,8),COLUMNS($M219:O219),1)</f>
        <v>0</v>
      </c>
      <c r="Q219" s="2" t="str">
        <f>MID(HEX2BIN($M219,8),COLUMNS($M219:P219),1)</f>
        <v>1</v>
      </c>
      <c r="R219" s="2" t="str">
        <f>MID(HEX2BIN($M219,8),COLUMNS($M219:Q219),1)</f>
        <v>0</v>
      </c>
      <c r="S219" s="2" t="str">
        <f>MID(HEX2BIN($M219,8),COLUMNS($M219:R219),1)</f>
        <v>1</v>
      </c>
      <c r="T219" s="2" t="str">
        <f>MID(HEX2BIN($M219,8),COLUMNS($M219:S219),1)</f>
        <v>0</v>
      </c>
      <c r="U219" s="5" t="str">
        <f>MID(HEX2BIN($M219,8),COLUMNS($M219:T219),1)</f>
        <v>1</v>
      </c>
    </row>
    <row r="220" spans="10:21" x14ac:dyDescent="0.25">
      <c r="J220" s="64"/>
      <c r="K220" s="32"/>
      <c r="M220" s="3" t="str">
        <f t="shared" si="6"/>
        <v>D6</v>
      </c>
      <c r="N220" s="2" t="str">
        <f>MID(HEX2BIN($M220,8),COLUMNS($M220:M220),1)</f>
        <v>1</v>
      </c>
      <c r="O220" s="2" t="str">
        <f>MID(HEX2BIN($M220,8),COLUMNS($M220:N220),1)</f>
        <v>1</v>
      </c>
      <c r="P220" s="2" t="str">
        <f>MID(HEX2BIN($M220,8),COLUMNS($M220:O220),1)</f>
        <v>0</v>
      </c>
      <c r="Q220" s="2" t="str">
        <f>MID(HEX2BIN($M220,8),COLUMNS($M220:P220),1)</f>
        <v>1</v>
      </c>
      <c r="R220" s="2" t="str">
        <f>MID(HEX2BIN($M220,8),COLUMNS($M220:Q220),1)</f>
        <v>0</v>
      </c>
      <c r="S220" s="2" t="str">
        <f>MID(HEX2BIN($M220,8),COLUMNS($M220:R220),1)</f>
        <v>1</v>
      </c>
      <c r="T220" s="2" t="str">
        <f>MID(HEX2BIN($M220,8),COLUMNS($M220:S220),1)</f>
        <v>1</v>
      </c>
      <c r="U220" s="5" t="str">
        <f>MID(HEX2BIN($M220,8),COLUMNS($M220:T220),1)</f>
        <v>0</v>
      </c>
    </row>
    <row r="221" spans="10:21" x14ac:dyDescent="0.25">
      <c r="J221" s="64"/>
      <c r="K221" s="32"/>
      <c r="M221" s="3" t="str">
        <f t="shared" si="6"/>
        <v>D7</v>
      </c>
      <c r="N221" s="2" t="str">
        <f>MID(HEX2BIN($M221,8),COLUMNS($M221:M221),1)</f>
        <v>1</v>
      </c>
      <c r="O221" s="2" t="str">
        <f>MID(HEX2BIN($M221,8),COLUMNS($M221:N221),1)</f>
        <v>1</v>
      </c>
      <c r="P221" s="2" t="str">
        <f>MID(HEX2BIN($M221,8),COLUMNS($M221:O221),1)</f>
        <v>0</v>
      </c>
      <c r="Q221" s="2" t="str">
        <f>MID(HEX2BIN($M221,8),COLUMNS($M221:P221),1)</f>
        <v>1</v>
      </c>
      <c r="R221" s="2" t="str">
        <f>MID(HEX2BIN($M221,8),COLUMNS($M221:Q221),1)</f>
        <v>0</v>
      </c>
      <c r="S221" s="2" t="str">
        <f>MID(HEX2BIN($M221,8),COLUMNS($M221:R221),1)</f>
        <v>1</v>
      </c>
      <c r="T221" s="2" t="str">
        <f>MID(HEX2BIN($M221,8),COLUMNS($M221:S221),1)</f>
        <v>1</v>
      </c>
      <c r="U221" s="5" t="str">
        <f>MID(HEX2BIN($M221,8),COLUMNS($M221:T221),1)</f>
        <v>1</v>
      </c>
    </row>
    <row r="222" spans="10:21" x14ac:dyDescent="0.25">
      <c r="J222" s="64"/>
      <c r="K222" s="32"/>
      <c r="M222" s="3" t="str">
        <f t="shared" si="6"/>
        <v>D8</v>
      </c>
      <c r="N222" s="2" t="str">
        <f>MID(HEX2BIN($M222,8),COLUMNS($M222:M222),1)</f>
        <v>1</v>
      </c>
      <c r="O222" s="2" t="str">
        <f>MID(HEX2BIN($M222,8),COLUMNS($M222:N222),1)</f>
        <v>1</v>
      </c>
      <c r="P222" s="2" t="str">
        <f>MID(HEX2BIN($M222,8),COLUMNS($M222:O222),1)</f>
        <v>0</v>
      </c>
      <c r="Q222" s="2" t="str">
        <f>MID(HEX2BIN($M222,8),COLUMNS($M222:P222),1)</f>
        <v>1</v>
      </c>
      <c r="R222" s="2" t="str">
        <f>MID(HEX2BIN($M222,8),COLUMNS($M222:Q222),1)</f>
        <v>1</v>
      </c>
      <c r="S222" s="2" t="str">
        <f>MID(HEX2BIN($M222,8),COLUMNS($M222:R222),1)</f>
        <v>0</v>
      </c>
      <c r="T222" s="2" t="str">
        <f>MID(HEX2BIN($M222,8),COLUMNS($M222:S222),1)</f>
        <v>0</v>
      </c>
      <c r="U222" s="5" t="str">
        <f>MID(HEX2BIN($M222,8),COLUMNS($M222:T222),1)</f>
        <v>0</v>
      </c>
    </row>
    <row r="223" spans="10:21" x14ac:dyDescent="0.25">
      <c r="J223" s="64"/>
      <c r="K223" s="32"/>
      <c r="M223" s="3" t="str">
        <f t="shared" si="6"/>
        <v>D9</v>
      </c>
      <c r="N223" s="2" t="str">
        <f>MID(HEX2BIN($M223,8),COLUMNS($M223:M223),1)</f>
        <v>1</v>
      </c>
      <c r="O223" s="2" t="str">
        <f>MID(HEX2BIN($M223,8),COLUMNS($M223:N223),1)</f>
        <v>1</v>
      </c>
      <c r="P223" s="2" t="str">
        <f>MID(HEX2BIN($M223,8),COLUMNS($M223:O223),1)</f>
        <v>0</v>
      </c>
      <c r="Q223" s="2" t="str">
        <f>MID(HEX2BIN($M223,8),COLUMNS($M223:P223),1)</f>
        <v>1</v>
      </c>
      <c r="R223" s="2" t="str">
        <f>MID(HEX2BIN($M223,8),COLUMNS($M223:Q223),1)</f>
        <v>1</v>
      </c>
      <c r="S223" s="2" t="str">
        <f>MID(HEX2BIN($M223,8),COLUMNS($M223:R223),1)</f>
        <v>0</v>
      </c>
      <c r="T223" s="2" t="str">
        <f>MID(HEX2BIN($M223,8),COLUMNS($M223:S223),1)</f>
        <v>0</v>
      </c>
      <c r="U223" s="5" t="str">
        <f>MID(HEX2BIN($M223,8),COLUMNS($M223:T223),1)</f>
        <v>1</v>
      </c>
    </row>
    <row r="224" spans="10:21" x14ac:dyDescent="0.25">
      <c r="J224" s="64"/>
      <c r="K224" s="32"/>
      <c r="M224" s="3" t="str">
        <f t="shared" si="6"/>
        <v>DA</v>
      </c>
      <c r="N224" s="2" t="str">
        <f>MID(HEX2BIN($M224,8),COLUMNS($M224:M224),1)</f>
        <v>1</v>
      </c>
      <c r="O224" s="2" t="str">
        <f>MID(HEX2BIN($M224,8),COLUMNS($M224:N224),1)</f>
        <v>1</v>
      </c>
      <c r="P224" s="2" t="str">
        <f>MID(HEX2BIN($M224,8),COLUMNS($M224:O224),1)</f>
        <v>0</v>
      </c>
      <c r="Q224" s="2" t="str">
        <f>MID(HEX2BIN($M224,8),COLUMNS($M224:P224),1)</f>
        <v>1</v>
      </c>
      <c r="R224" s="2" t="str">
        <f>MID(HEX2BIN($M224,8),COLUMNS($M224:Q224),1)</f>
        <v>1</v>
      </c>
      <c r="S224" s="2" t="str">
        <f>MID(HEX2BIN($M224,8),COLUMNS($M224:R224),1)</f>
        <v>0</v>
      </c>
      <c r="T224" s="2" t="str">
        <f>MID(HEX2BIN($M224,8),COLUMNS($M224:S224),1)</f>
        <v>1</v>
      </c>
      <c r="U224" s="5" t="str">
        <f>MID(HEX2BIN($M224,8),COLUMNS($M224:T224),1)</f>
        <v>0</v>
      </c>
    </row>
    <row r="225" spans="10:21" x14ac:dyDescent="0.25">
      <c r="J225" s="64"/>
      <c r="K225" s="32"/>
      <c r="M225" s="3" t="str">
        <f t="shared" si="6"/>
        <v>DB</v>
      </c>
      <c r="N225" s="2" t="str">
        <f>MID(HEX2BIN($M225,8),COLUMNS($M225:M225),1)</f>
        <v>1</v>
      </c>
      <c r="O225" s="2" t="str">
        <f>MID(HEX2BIN($M225,8),COLUMNS($M225:N225),1)</f>
        <v>1</v>
      </c>
      <c r="P225" s="2" t="str">
        <f>MID(HEX2BIN($M225,8),COLUMNS($M225:O225),1)</f>
        <v>0</v>
      </c>
      <c r="Q225" s="2" t="str">
        <f>MID(HEX2BIN($M225,8),COLUMNS($M225:P225),1)</f>
        <v>1</v>
      </c>
      <c r="R225" s="2" t="str">
        <f>MID(HEX2BIN($M225,8),COLUMNS($M225:Q225),1)</f>
        <v>1</v>
      </c>
      <c r="S225" s="2" t="str">
        <f>MID(HEX2BIN($M225,8),COLUMNS($M225:R225),1)</f>
        <v>0</v>
      </c>
      <c r="T225" s="2" t="str">
        <f>MID(HEX2BIN($M225,8),COLUMNS($M225:S225),1)</f>
        <v>1</v>
      </c>
      <c r="U225" s="5" t="str">
        <f>MID(HEX2BIN($M225,8),COLUMNS($M225:T225),1)</f>
        <v>1</v>
      </c>
    </row>
    <row r="226" spans="10:21" x14ac:dyDescent="0.25">
      <c r="J226" s="64"/>
      <c r="K226" s="32"/>
      <c r="M226" s="3" t="str">
        <f t="shared" si="6"/>
        <v>DC</v>
      </c>
      <c r="N226" s="2" t="str">
        <f>MID(HEX2BIN($M226,8),COLUMNS($M226:M226),1)</f>
        <v>1</v>
      </c>
      <c r="O226" s="2" t="str">
        <f>MID(HEX2BIN($M226,8),COLUMNS($M226:N226),1)</f>
        <v>1</v>
      </c>
      <c r="P226" s="2" t="str">
        <f>MID(HEX2BIN($M226,8),COLUMNS($M226:O226),1)</f>
        <v>0</v>
      </c>
      <c r="Q226" s="2" t="str">
        <f>MID(HEX2BIN($M226,8),COLUMNS($M226:P226),1)</f>
        <v>1</v>
      </c>
      <c r="R226" s="2" t="str">
        <f>MID(HEX2BIN($M226,8),COLUMNS($M226:Q226),1)</f>
        <v>1</v>
      </c>
      <c r="S226" s="2" t="str">
        <f>MID(HEX2BIN($M226,8),COLUMNS($M226:R226),1)</f>
        <v>1</v>
      </c>
      <c r="T226" s="2" t="str">
        <f>MID(HEX2BIN($M226,8),COLUMNS($M226:S226),1)</f>
        <v>0</v>
      </c>
      <c r="U226" s="5" t="str">
        <f>MID(HEX2BIN($M226,8),COLUMNS($M226:T226),1)</f>
        <v>0</v>
      </c>
    </row>
    <row r="227" spans="10:21" x14ac:dyDescent="0.25">
      <c r="J227" s="64"/>
      <c r="K227" s="32"/>
      <c r="M227" s="3" t="str">
        <f t="shared" si="6"/>
        <v>DD</v>
      </c>
      <c r="N227" s="2" t="str">
        <f>MID(HEX2BIN($M227,8),COLUMNS($M227:M227),1)</f>
        <v>1</v>
      </c>
      <c r="O227" s="2" t="str">
        <f>MID(HEX2BIN($M227,8),COLUMNS($M227:N227),1)</f>
        <v>1</v>
      </c>
      <c r="P227" s="2" t="str">
        <f>MID(HEX2BIN($M227,8),COLUMNS($M227:O227),1)</f>
        <v>0</v>
      </c>
      <c r="Q227" s="2" t="str">
        <f>MID(HEX2BIN($M227,8),COLUMNS($M227:P227),1)</f>
        <v>1</v>
      </c>
      <c r="R227" s="2" t="str">
        <f>MID(HEX2BIN($M227,8),COLUMNS($M227:Q227),1)</f>
        <v>1</v>
      </c>
      <c r="S227" s="2" t="str">
        <f>MID(HEX2BIN($M227,8),COLUMNS($M227:R227),1)</f>
        <v>1</v>
      </c>
      <c r="T227" s="2" t="str">
        <f>MID(HEX2BIN($M227,8),COLUMNS($M227:S227),1)</f>
        <v>0</v>
      </c>
      <c r="U227" s="5" t="str">
        <f>MID(HEX2BIN($M227,8),COLUMNS($M227:T227),1)</f>
        <v>1</v>
      </c>
    </row>
    <row r="228" spans="10:21" x14ac:dyDescent="0.25">
      <c r="J228" s="64"/>
      <c r="K228" s="32"/>
      <c r="M228" s="3" t="str">
        <f t="shared" si="6"/>
        <v>DE</v>
      </c>
      <c r="N228" s="2" t="str">
        <f>MID(HEX2BIN($M228,8),COLUMNS($M228:M228),1)</f>
        <v>1</v>
      </c>
      <c r="O228" s="2" t="str">
        <f>MID(HEX2BIN($M228,8),COLUMNS($M228:N228),1)</f>
        <v>1</v>
      </c>
      <c r="P228" s="2" t="str">
        <f>MID(HEX2BIN($M228,8),COLUMNS($M228:O228),1)</f>
        <v>0</v>
      </c>
      <c r="Q228" s="2" t="str">
        <f>MID(HEX2BIN($M228,8),COLUMNS($M228:P228),1)</f>
        <v>1</v>
      </c>
      <c r="R228" s="2" t="str">
        <f>MID(HEX2BIN($M228,8),COLUMNS($M228:Q228),1)</f>
        <v>1</v>
      </c>
      <c r="S228" s="2" t="str">
        <f>MID(HEX2BIN($M228,8),COLUMNS($M228:R228),1)</f>
        <v>1</v>
      </c>
      <c r="T228" s="2" t="str">
        <f>MID(HEX2BIN($M228,8),COLUMNS($M228:S228),1)</f>
        <v>1</v>
      </c>
      <c r="U228" s="5" t="str">
        <f>MID(HEX2BIN($M228,8),COLUMNS($M228:T228),1)</f>
        <v>0</v>
      </c>
    </row>
    <row r="229" spans="10:21" x14ac:dyDescent="0.25">
      <c r="J229" s="64"/>
      <c r="K229" s="32"/>
      <c r="M229" s="3" t="str">
        <f t="shared" si="6"/>
        <v>DF</v>
      </c>
      <c r="N229" s="2" t="str">
        <f>MID(HEX2BIN($M229,8),COLUMNS($M229:M229),1)</f>
        <v>1</v>
      </c>
      <c r="O229" s="2" t="str">
        <f>MID(HEX2BIN($M229,8),COLUMNS($M229:N229),1)</f>
        <v>1</v>
      </c>
      <c r="P229" s="2" t="str">
        <f>MID(HEX2BIN($M229,8),COLUMNS($M229:O229),1)</f>
        <v>0</v>
      </c>
      <c r="Q229" s="2" t="str">
        <f>MID(HEX2BIN($M229,8),COLUMNS($M229:P229),1)</f>
        <v>1</v>
      </c>
      <c r="R229" s="2" t="str">
        <f>MID(HEX2BIN($M229,8),COLUMNS($M229:Q229),1)</f>
        <v>1</v>
      </c>
      <c r="S229" s="2" t="str">
        <f>MID(HEX2BIN($M229,8),COLUMNS($M229:R229),1)</f>
        <v>1</v>
      </c>
      <c r="T229" s="2" t="str">
        <f>MID(HEX2BIN($M229,8),COLUMNS($M229:S229),1)</f>
        <v>1</v>
      </c>
      <c r="U229" s="5" t="str">
        <f>MID(HEX2BIN($M229,8),COLUMNS($M229:T229),1)</f>
        <v>1</v>
      </c>
    </row>
    <row r="230" spans="10:21" x14ac:dyDescent="0.25">
      <c r="J230" s="64"/>
      <c r="K230" s="32"/>
      <c r="M230" s="3" t="str">
        <f t="shared" si="6"/>
        <v>E0</v>
      </c>
      <c r="N230" s="2" t="str">
        <f>MID(HEX2BIN($M230,8),COLUMNS($M230:M230),1)</f>
        <v>1</v>
      </c>
      <c r="O230" s="2" t="str">
        <f>MID(HEX2BIN($M230,8),COLUMNS($M230:N230),1)</f>
        <v>1</v>
      </c>
      <c r="P230" s="2" t="str">
        <f>MID(HEX2BIN($M230,8),COLUMNS($M230:O230),1)</f>
        <v>1</v>
      </c>
      <c r="Q230" s="2" t="str">
        <f>MID(HEX2BIN($M230,8),COLUMNS($M230:P230),1)</f>
        <v>0</v>
      </c>
      <c r="R230" s="2" t="str">
        <f>MID(HEX2BIN($M230,8),COLUMNS($M230:Q230),1)</f>
        <v>0</v>
      </c>
      <c r="S230" s="2" t="str">
        <f>MID(HEX2BIN($M230,8),COLUMNS($M230:R230),1)</f>
        <v>0</v>
      </c>
      <c r="T230" s="2" t="str">
        <f>MID(HEX2BIN($M230,8),COLUMNS($M230:S230),1)</f>
        <v>0</v>
      </c>
      <c r="U230" s="5" t="str">
        <f>MID(HEX2BIN($M230,8),COLUMNS($M230:T230),1)</f>
        <v>0</v>
      </c>
    </row>
    <row r="231" spans="10:21" x14ac:dyDescent="0.25">
      <c r="J231" s="64"/>
      <c r="K231" s="32"/>
      <c r="M231" s="3" t="str">
        <f t="shared" si="6"/>
        <v>E1</v>
      </c>
      <c r="N231" s="2" t="str">
        <f>MID(HEX2BIN($M231,8),COLUMNS($M231:M231),1)</f>
        <v>1</v>
      </c>
      <c r="O231" s="2" t="str">
        <f>MID(HEX2BIN($M231,8),COLUMNS($M231:N231),1)</f>
        <v>1</v>
      </c>
      <c r="P231" s="2" t="str">
        <f>MID(HEX2BIN($M231,8),COLUMNS($M231:O231),1)</f>
        <v>1</v>
      </c>
      <c r="Q231" s="2" t="str">
        <f>MID(HEX2BIN($M231,8),COLUMNS($M231:P231),1)</f>
        <v>0</v>
      </c>
      <c r="R231" s="2" t="str">
        <f>MID(HEX2BIN($M231,8),COLUMNS($M231:Q231),1)</f>
        <v>0</v>
      </c>
      <c r="S231" s="2" t="str">
        <f>MID(HEX2BIN($M231,8),COLUMNS($M231:R231),1)</f>
        <v>0</v>
      </c>
      <c r="T231" s="2" t="str">
        <f>MID(HEX2BIN($M231,8),COLUMNS($M231:S231),1)</f>
        <v>0</v>
      </c>
      <c r="U231" s="5" t="str">
        <f>MID(HEX2BIN($M231,8),COLUMNS($M231:T231),1)</f>
        <v>1</v>
      </c>
    </row>
    <row r="232" spans="10:21" x14ac:dyDescent="0.25">
      <c r="J232" s="64"/>
      <c r="K232" s="32"/>
      <c r="M232" s="3" t="str">
        <f t="shared" si="6"/>
        <v>E2</v>
      </c>
      <c r="N232" s="2" t="str">
        <f>MID(HEX2BIN($M232,8),COLUMNS($M232:M232),1)</f>
        <v>1</v>
      </c>
      <c r="O232" s="2" t="str">
        <f>MID(HEX2BIN($M232,8),COLUMNS($M232:N232),1)</f>
        <v>1</v>
      </c>
      <c r="P232" s="2" t="str">
        <f>MID(HEX2BIN($M232,8),COLUMNS($M232:O232),1)</f>
        <v>1</v>
      </c>
      <c r="Q232" s="2" t="str">
        <f>MID(HEX2BIN($M232,8),COLUMNS($M232:P232),1)</f>
        <v>0</v>
      </c>
      <c r="R232" s="2" t="str">
        <f>MID(HEX2BIN($M232,8),COLUMNS($M232:Q232),1)</f>
        <v>0</v>
      </c>
      <c r="S232" s="2" t="str">
        <f>MID(HEX2BIN($M232,8),COLUMNS($M232:R232),1)</f>
        <v>0</v>
      </c>
      <c r="T232" s="2" t="str">
        <f>MID(HEX2BIN($M232,8),COLUMNS($M232:S232),1)</f>
        <v>1</v>
      </c>
      <c r="U232" s="5" t="str">
        <f>MID(HEX2BIN($M232,8),COLUMNS($M232:T232),1)</f>
        <v>0</v>
      </c>
    </row>
    <row r="233" spans="10:21" x14ac:dyDescent="0.25">
      <c r="J233" s="64"/>
      <c r="K233" s="32"/>
      <c r="M233" s="3" t="str">
        <f t="shared" si="6"/>
        <v>E3</v>
      </c>
      <c r="N233" s="2" t="str">
        <f>MID(HEX2BIN($M233,8),COLUMNS($M233:M233),1)</f>
        <v>1</v>
      </c>
      <c r="O233" s="2" t="str">
        <f>MID(HEX2BIN($M233,8),COLUMNS($M233:N233),1)</f>
        <v>1</v>
      </c>
      <c r="P233" s="2" t="str">
        <f>MID(HEX2BIN($M233,8),COLUMNS($M233:O233),1)</f>
        <v>1</v>
      </c>
      <c r="Q233" s="2" t="str">
        <f>MID(HEX2BIN($M233,8),COLUMNS($M233:P233),1)</f>
        <v>0</v>
      </c>
      <c r="R233" s="2" t="str">
        <f>MID(HEX2BIN($M233,8),COLUMNS($M233:Q233),1)</f>
        <v>0</v>
      </c>
      <c r="S233" s="2" t="str">
        <f>MID(HEX2BIN($M233,8),COLUMNS($M233:R233),1)</f>
        <v>0</v>
      </c>
      <c r="T233" s="2" t="str">
        <f>MID(HEX2BIN($M233,8),COLUMNS($M233:S233),1)</f>
        <v>1</v>
      </c>
      <c r="U233" s="5" t="str">
        <f>MID(HEX2BIN($M233,8),COLUMNS($M233:T233),1)</f>
        <v>1</v>
      </c>
    </row>
    <row r="234" spans="10:21" x14ac:dyDescent="0.25">
      <c r="J234" s="64"/>
      <c r="K234" s="32"/>
      <c r="M234" s="3" t="str">
        <f t="shared" si="6"/>
        <v>E4</v>
      </c>
      <c r="N234" s="2" t="str">
        <f>MID(HEX2BIN($M234,8),COLUMNS($M234:M234),1)</f>
        <v>1</v>
      </c>
      <c r="O234" s="2" t="str">
        <f>MID(HEX2BIN($M234,8),COLUMNS($M234:N234),1)</f>
        <v>1</v>
      </c>
      <c r="P234" s="2" t="str">
        <f>MID(HEX2BIN($M234,8),COLUMNS($M234:O234),1)</f>
        <v>1</v>
      </c>
      <c r="Q234" s="2" t="str">
        <f>MID(HEX2BIN($M234,8),COLUMNS($M234:P234),1)</f>
        <v>0</v>
      </c>
      <c r="R234" s="2" t="str">
        <f>MID(HEX2BIN($M234,8),COLUMNS($M234:Q234),1)</f>
        <v>0</v>
      </c>
      <c r="S234" s="2" t="str">
        <f>MID(HEX2BIN($M234,8),COLUMNS($M234:R234),1)</f>
        <v>1</v>
      </c>
      <c r="T234" s="2" t="str">
        <f>MID(HEX2BIN($M234,8),COLUMNS($M234:S234),1)</f>
        <v>0</v>
      </c>
      <c r="U234" s="5" t="str">
        <f>MID(HEX2BIN($M234,8),COLUMNS($M234:T234),1)</f>
        <v>0</v>
      </c>
    </row>
    <row r="235" spans="10:21" x14ac:dyDescent="0.25">
      <c r="J235" s="64"/>
      <c r="K235" s="32"/>
      <c r="M235" s="3" t="str">
        <f t="shared" si="6"/>
        <v>E5</v>
      </c>
      <c r="N235" s="2" t="str">
        <f>MID(HEX2BIN($M235,8),COLUMNS($M235:M235),1)</f>
        <v>1</v>
      </c>
      <c r="O235" s="2" t="str">
        <f>MID(HEX2BIN($M235,8),COLUMNS($M235:N235),1)</f>
        <v>1</v>
      </c>
      <c r="P235" s="2" t="str">
        <f>MID(HEX2BIN($M235,8),COLUMNS($M235:O235),1)</f>
        <v>1</v>
      </c>
      <c r="Q235" s="2" t="str">
        <f>MID(HEX2BIN($M235,8),COLUMNS($M235:P235),1)</f>
        <v>0</v>
      </c>
      <c r="R235" s="2" t="str">
        <f>MID(HEX2BIN($M235,8),COLUMNS($M235:Q235),1)</f>
        <v>0</v>
      </c>
      <c r="S235" s="2" t="str">
        <f>MID(HEX2BIN($M235,8),COLUMNS($M235:R235),1)</f>
        <v>1</v>
      </c>
      <c r="T235" s="2" t="str">
        <f>MID(HEX2BIN($M235,8),COLUMNS($M235:S235),1)</f>
        <v>0</v>
      </c>
      <c r="U235" s="5" t="str">
        <f>MID(HEX2BIN($M235,8),COLUMNS($M235:T235),1)</f>
        <v>1</v>
      </c>
    </row>
    <row r="236" spans="10:21" x14ac:dyDescent="0.25">
      <c r="J236" s="64"/>
      <c r="K236" s="32"/>
      <c r="M236" s="3" t="str">
        <f t="shared" si="6"/>
        <v>E6</v>
      </c>
      <c r="N236" s="2" t="str">
        <f>MID(HEX2BIN($M236,8),COLUMNS($M236:M236),1)</f>
        <v>1</v>
      </c>
      <c r="O236" s="2" t="str">
        <f>MID(HEX2BIN($M236,8),COLUMNS($M236:N236),1)</f>
        <v>1</v>
      </c>
      <c r="P236" s="2" t="str">
        <f>MID(HEX2BIN($M236,8),COLUMNS($M236:O236),1)</f>
        <v>1</v>
      </c>
      <c r="Q236" s="2" t="str">
        <f>MID(HEX2BIN($M236,8),COLUMNS($M236:P236),1)</f>
        <v>0</v>
      </c>
      <c r="R236" s="2" t="str">
        <f>MID(HEX2BIN($M236,8),COLUMNS($M236:Q236),1)</f>
        <v>0</v>
      </c>
      <c r="S236" s="2" t="str">
        <f>MID(HEX2BIN($M236,8),COLUMNS($M236:R236),1)</f>
        <v>1</v>
      </c>
      <c r="T236" s="2" t="str">
        <f>MID(HEX2BIN($M236,8),COLUMNS($M236:S236),1)</f>
        <v>1</v>
      </c>
      <c r="U236" s="5" t="str">
        <f>MID(HEX2BIN($M236,8),COLUMNS($M236:T236),1)</f>
        <v>0</v>
      </c>
    </row>
    <row r="237" spans="10:21" x14ac:dyDescent="0.25">
      <c r="J237" s="64"/>
      <c r="K237" s="32"/>
      <c r="M237" s="3" t="str">
        <f t="shared" si="6"/>
        <v>E7</v>
      </c>
      <c r="N237" s="2" t="str">
        <f>MID(HEX2BIN($M237,8),COLUMNS($M237:M237),1)</f>
        <v>1</v>
      </c>
      <c r="O237" s="2" t="str">
        <f>MID(HEX2BIN($M237,8),COLUMNS($M237:N237),1)</f>
        <v>1</v>
      </c>
      <c r="P237" s="2" t="str">
        <f>MID(HEX2BIN($M237,8),COLUMNS($M237:O237),1)</f>
        <v>1</v>
      </c>
      <c r="Q237" s="2" t="str">
        <f>MID(HEX2BIN($M237,8),COLUMNS($M237:P237),1)</f>
        <v>0</v>
      </c>
      <c r="R237" s="2" t="str">
        <f>MID(HEX2BIN($M237,8),COLUMNS($M237:Q237),1)</f>
        <v>0</v>
      </c>
      <c r="S237" s="2" t="str">
        <f>MID(HEX2BIN($M237,8),COLUMNS($M237:R237),1)</f>
        <v>1</v>
      </c>
      <c r="T237" s="2" t="str">
        <f>MID(HEX2BIN($M237,8),COLUMNS($M237:S237),1)</f>
        <v>1</v>
      </c>
      <c r="U237" s="5" t="str">
        <f>MID(HEX2BIN($M237,8),COLUMNS($M237:T237),1)</f>
        <v>1</v>
      </c>
    </row>
    <row r="238" spans="10:21" x14ac:dyDescent="0.25">
      <c r="J238" s="64"/>
      <c r="K238" s="32"/>
      <c r="M238" s="3" t="str">
        <f t="shared" si="6"/>
        <v>E8</v>
      </c>
      <c r="N238" s="2" t="str">
        <f>MID(HEX2BIN($M238,8),COLUMNS($M238:M238),1)</f>
        <v>1</v>
      </c>
      <c r="O238" s="2" t="str">
        <f>MID(HEX2BIN($M238,8),COLUMNS($M238:N238),1)</f>
        <v>1</v>
      </c>
      <c r="P238" s="2" t="str">
        <f>MID(HEX2BIN($M238,8),COLUMNS($M238:O238),1)</f>
        <v>1</v>
      </c>
      <c r="Q238" s="2" t="str">
        <f>MID(HEX2BIN($M238,8),COLUMNS($M238:P238),1)</f>
        <v>0</v>
      </c>
      <c r="R238" s="2" t="str">
        <f>MID(HEX2BIN($M238,8),COLUMNS($M238:Q238),1)</f>
        <v>1</v>
      </c>
      <c r="S238" s="2" t="str">
        <f>MID(HEX2BIN($M238,8),COLUMNS($M238:R238),1)</f>
        <v>0</v>
      </c>
      <c r="T238" s="2" t="str">
        <f>MID(HEX2BIN($M238,8),COLUMNS($M238:S238),1)</f>
        <v>0</v>
      </c>
      <c r="U238" s="5" t="str">
        <f>MID(HEX2BIN($M238,8),COLUMNS($M238:T238),1)</f>
        <v>0</v>
      </c>
    </row>
    <row r="239" spans="10:21" x14ac:dyDescent="0.25">
      <c r="J239" s="64"/>
      <c r="K239" s="32"/>
      <c r="M239" s="3" t="str">
        <f t="shared" si="6"/>
        <v>E9</v>
      </c>
      <c r="N239" s="2" t="str">
        <f>MID(HEX2BIN($M239,8),COLUMNS($M239:M239),1)</f>
        <v>1</v>
      </c>
      <c r="O239" s="2" t="str">
        <f>MID(HEX2BIN($M239,8),COLUMNS($M239:N239),1)</f>
        <v>1</v>
      </c>
      <c r="P239" s="2" t="str">
        <f>MID(HEX2BIN($M239,8),COLUMNS($M239:O239),1)</f>
        <v>1</v>
      </c>
      <c r="Q239" s="2" t="str">
        <f>MID(HEX2BIN($M239,8),COLUMNS($M239:P239),1)</f>
        <v>0</v>
      </c>
      <c r="R239" s="2" t="str">
        <f>MID(HEX2BIN($M239,8),COLUMNS($M239:Q239),1)</f>
        <v>1</v>
      </c>
      <c r="S239" s="2" t="str">
        <f>MID(HEX2BIN($M239,8),COLUMNS($M239:R239),1)</f>
        <v>0</v>
      </c>
      <c r="T239" s="2" t="str">
        <f>MID(HEX2BIN($M239,8),COLUMNS($M239:S239),1)</f>
        <v>0</v>
      </c>
      <c r="U239" s="5" t="str">
        <f>MID(HEX2BIN($M239,8),COLUMNS($M239:T239),1)</f>
        <v>1</v>
      </c>
    </row>
    <row r="240" spans="10:21" x14ac:dyDescent="0.25">
      <c r="J240" s="64"/>
      <c r="K240" s="32"/>
      <c r="M240" s="3" t="str">
        <f t="shared" si="6"/>
        <v>EA</v>
      </c>
      <c r="N240" s="2" t="str">
        <f>MID(HEX2BIN($M240,8),COLUMNS($M240:M240),1)</f>
        <v>1</v>
      </c>
      <c r="O240" s="2" t="str">
        <f>MID(HEX2BIN($M240,8),COLUMNS($M240:N240),1)</f>
        <v>1</v>
      </c>
      <c r="P240" s="2" t="str">
        <f>MID(HEX2BIN($M240,8),COLUMNS($M240:O240),1)</f>
        <v>1</v>
      </c>
      <c r="Q240" s="2" t="str">
        <f>MID(HEX2BIN($M240,8),COLUMNS($M240:P240),1)</f>
        <v>0</v>
      </c>
      <c r="R240" s="2" t="str">
        <f>MID(HEX2BIN($M240,8),COLUMNS($M240:Q240),1)</f>
        <v>1</v>
      </c>
      <c r="S240" s="2" t="str">
        <f>MID(HEX2BIN($M240,8),COLUMNS($M240:R240),1)</f>
        <v>0</v>
      </c>
      <c r="T240" s="2" t="str">
        <f>MID(HEX2BIN($M240,8),COLUMNS($M240:S240),1)</f>
        <v>1</v>
      </c>
      <c r="U240" s="5" t="str">
        <f>MID(HEX2BIN($M240,8),COLUMNS($M240:T240),1)</f>
        <v>0</v>
      </c>
    </row>
    <row r="241" spans="10:21" x14ac:dyDescent="0.25">
      <c r="J241" s="64"/>
      <c r="K241" s="32"/>
      <c r="M241" s="3" t="str">
        <f t="shared" si="6"/>
        <v>EB</v>
      </c>
      <c r="N241" s="2" t="str">
        <f>MID(HEX2BIN($M241,8),COLUMNS($M241:M241),1)</f>
        <v>1</v>
      </c>
      <c r="O241" s="2" t="str">
        <f>MID(HEX2BIN($M241,8),COLUMNS($M241:N241),1)</f>
        <v>1</v>
      </c>
      <c r="P241" s="2" t="str">
        <f>MID(HEX2BIN($M241,8),COLUMNS($M241:O241),1)</f>
        <v>1</v>
      </c>
      <c r="Q241" s="2" t="str">
        <f>MID(HEX2BIN($M241,8),COLUMNS($M241:P241),1)</f>
        <v>0</v>
      </c>
      <c r="R241" s="2" t="str">
        <f>MID(HEX2BIN($M241,8),COLUMNS($M241:Q241),1)</f>
        <v>1</v>
      </c>
      <c r="S241" s="2" t="str">
        <f>MID(HEX2BIN($M241,8),COLUMNS($M241:R241),1)</f>
        <v>0</v>
      </c>
      <c r="T241" s="2" t="str">
        <f>MID(HEX2BIN($M241,8),COLUMNS($M241:S241),1)</f>
        <v>1</v>
      </c>
      <c r="U241" s="5" t="str">
        <f>MID(HEX2BIN($M241,8),COLUMNS($M241:T241),1)</f>
        <v>1</v>
      </c>
    </row>
    <row r="242" spans="10:21" x14ac:dyDescent="0.25">
      <c r="J242" s="64"/>
      <c r="K242" s="32"/>
      <c r="M242" s="3" t="str">
        <f t="shared" si="6"/>
        <v>EC</v>
      </c>
      <c r="N242" s="2" t="str">
        <f>MID(HEX2BIN($M242,8),COLUMNS($M242:M242),1)</f>
        <v>1</v>
      </c>
      <c r="O242" s="2" t="str">
        <f>MID(HEX2BIN($M242,8),COLUMNS($M242:N242),1)</f>
        <v>1</v>
      </c>
      <c r="P242" s="2" t="str">
        <f>MID(HEX2BIN($M242,8),COLUMNS($M242:O242),1)</f>
        <v>1</v>
      </c>
      <c r="Q242" s="2" t="str">
        <f>MID(HEX2BIN($M242,8),COLUMNS($M242:P242),1)</f>
        <v>0</v>
      </c>
      <c r="R242" s="2" t="str">
        <f>MID(HEX2BIN($M242,8),COLUMNS($M242:Q242),1)</f>
        <v>1</v>
      </c>
      <c r="S242" s="2" t="str">
        <f>MID(HEX2BIN($M242,8),COLUMNS($M242:R242),1)</f>
        <v>1</v>
      </c>
      <c r="T242" s="2" t="str">
        <f>MID(HEX2BIN($M242,8),COLUMNS($M242:S242),1)</f>
        <v>0</v>
      </c>
      <c r="U242" s="5" t="str">
        <f>MID(HEX2BIN($M242,8),COLUMNS($M242:T242),1)</f>
        <v>0</v>
      </c>
    </row>
    <row r="243" spans="10:21" x14ac:dyDescent="0.25">
      <c r="J243" s="64"/>
      <c r="K243" s="32"/>
      <c r="M243" s="3" t="str">
        <f t="shared" si="6"/>
        <v>ED</v>
      </c>
      <c r="N243" s="2" t="str">
        <f>MID(HEX2BIN($M243,8),COLUMNS($M243:M243),1)</f>
        <v>1</v>
      </c>
      <c r="O243" s="2" t="str">
        <f>MID(HEX2BIN($M243,8),COLUMNS($M243:N243),1)</f>
        <v>1</v>
      </c>
      <c r="P243" s="2" t="str">
        <f>MID(HEX2BIN($M243,8),COLUMNS($M243:O243),1)</f>
        <v>1</v>
      </c>
      <c r="Q243" s="2" t="str">
        <f>MID(HEX2BIN($M243,8),COLUMNS($M243:P243),1)</f>
        <v>0</v>
      </c>
      <c r="R243" s="2" t="str">
        <f>MID(HEX2BIN($M243,8),COLUMNS($M243:Q243),1)</f>
        <v>1</v>
      </c>
      <c r="S243" s="2" t="str">
        <f>MID(HEX2BIN($M243,8),COLUMNS($M243:R243),1)</f>
        <v>1</v>
      </c>
      <c r="T243" s="2" t="str">
        <f>MID(HEX2BIN($M243,8),COLUMNS($M243:S243),1)</f>
        <v>0</v>
      </c>
      <c r="U243" s="5" t="str">
        <f>MID(HEX2BIN($M243,8),COLUMNS($M243:T243),1)</f>
        <v>1</v>
      </c>
    </row>
    <row r="244" spans="10:21" x14ac:dyDescent="0.25">
      <c r="J244" s="64"/>
      <c r="K244" s="32"/>
      <c r="M244" s="3" t="str">
        <f t="shared" si="6"/>
        <v>EE</v>
      </c>
      <c r="N244" s="2" t="str">
        <f>MID(HEX2BIN($M244,8),COLUMNS($M244:M244),1)</f>
        <v>1</v>
      </c>
      <c r="O244" s="2" t="str">
        <f>MID(HEX2BIN($M244,8),COLUMNS($M244:N244),1)</f>
        <v>1</v>
      </c>
      <c r="P244" s="2" t="str">
        <f>MID(HEX2BIN($M244,8),COLUMNS($M244:O244),1)</f>
        <v>1</v>
      </c>
      <c r="Q244" s="2" t="str">
        <f>MID(HEX2BIN($M244,8),COLUMNS($M244:P244),1)</f>
        <v>0</v>
      </c>
      <c r="R244" s="2" t="str">
        <f>MID(HEX2BIN($M244,8),COLUMNS($M244:Q244),1)</f>
        <v>1</v>
      </c>
      <c r="S244" s="2" t="str">
        <f>MID(HEX2BIN($M244,8),COLUMNS($M244:R244),1)</f>
        <v>1</v>
      </c>
      <c r="T244" s="2" t="str">
        <f>MID(HEX2BIN($M244,8),COLUMNS($M244:S244),1)</f>
        <v>1</v>
      </c>
      <c r="U244" s="5" t="str">
        <f>MID(HEX2BIN($M244,8),COLUMNS($M244:T244),1)</f>
        <v>0</v>
      </c>
    </row>
    <row r="245" spans="10:21" x14ac:dyDescent="0.25">
      <c r="J245" s="64"/>
      <c r="K245" s="32"/>
      <c r="M245" s="3" t="str">
        <f t="shared" si="6"/>
        <v>EF</v>
      </c>
      <c r="N245" s="2" t="str">
        <f>MID(HEX2BIN($M245,8),COLUMNS($M245:M245),1)</f>
        <v>1</v>
      </c>
      <c r="O245" s="2" t="str">
        <f>MID(HEX2BIN($M245,8),COLUMNS($M245:N245),1)</f>
        <v>1</v>
      </c>
      <c r="P245" s="2" t="str">
        <f>MID(HEX2BIN($M245,8),COLUMNS($M245:O245),1)</f>
        <v>1</v>
      </c>
      <c r="Q245" s="2" t="str">
        <f>MID(HEX2BIN($M245,8),COLUMNS($M245:P245),1)</f>
        <v>0</v>
      </c>
      <c r="R245" s="2" t="str">
        <f>MID(HEX2BIN($M245,8),COLUMNS($M245:Q245),1)</f>
        <v>1</v>
      </c>
      <c r="S245" s="2" t="str">
        <f>MID(HEX2BIN($M245,8),COLUMNS($M245:R245),1)</f>
        <v>1</v>
      </c>
      <c r="T245" s="2" t="str">
        <f>MID(HEX2BIN($M245,8),COLUMNS($M245:S245),1)</f>
        <v>1</v>
      </c>
      <c r="U245" s="5" t="str">
        <f>MID(HEX2BIN($M245,8),COLUMNS($M245:T245),1)</f>
        <v>1</v>
      </c>
    </row>
    <row r="246" spans="10:21" x14ac:dyDescent="0.25">
      <c r="J246" s="64"/>
      <c r="K246" s="32"/>
      <c r="M246" s="3" t="str">
        <f t="shared" si="6"/>
        <v>F0</v>
      </c>
      <c r="N246" s="2" t="str">
        <f>MID(HEX2BIN($M246,8),COLUMNS($M246:M246),1)</f>
        <v>1</v>
      </c>
      <c r="O246" s="2" t="str">
        <f>MID(HEX2BIN($M246,8),COLUMNS($M246:N246),1)</f>
        <v>1</v>
      </c>
      <c r="P246" s="2" t="str">
        <f>MID(HEX2BIN($M246,8),COLUMNS($M246:O246),1)</f>
        <v>1</v>
      </c>
      <c r="Q246" s="2" t="str">
        <f>MID(HEX2BIN($M246,8),COLUMNS($M246:P246),1)</f>
        <v>1</v>
      </c>
      <c r="R246" s="2" t="str">
        <f>MID(HEX2BIN($M246,8),COLUMNS($M246:Q246),1)</f>
        <v>0</v>
      </c>
      <c r="S246" s="2" t="str">
        <f>MID(HEX2BIN($M246,8),COLUMNS($M246:R246),1)</f>
        <v>0</v>
      </c>
      <c r="T246" s="2" t="str">
        <f>MID(HEX2BIN($M246,8),COLUMNS($M246:S246),1)</f>
        <v>0</v>
      </c>
      <c r="U246" s="5" t="str">
        <f>MID(HEX2BIN($M246,8),COLUMNS($M246:T246),1)</f>
        <v>0</v>
      </c>
    </row>
    <row r="247" spans="10:21" x14ac:dyDescent="0.25">
      <c r="J247" s="64"/>
      <c r="K247" s="32"/>
      <c r="M247" s="3" t="str">
        <f t="shared" si="6"/>
        <v>F1</v>
      </c>
      <c r="N247" s="2" t="str">
        <f>MID(HEX2BIN($M247,8),COLUMNS($M247:M247),1)</f>
        <v>1</v>
      </c>
      <c r="O247" s="2" t="str">
        <f>MID(HEX2BIN($M247,8),COLUMNS($M247:N247),1)</f>
        <v>1</v>
      </c>
      <c r="P247" s="2" t="str">
        <f>MID(HEX2BIN($M247,8),COLUMNS($M247:O247),1)</f>
        <v>1</v>
      </c>
      <c r="Q247" s="2" t="str">
        <f>MID(HEX2BIN($M247,8),COLUMNS($M247:P247),1)</f>
        <v>1</v>
      </c>
      <c r="R247" s="2" t="str">
        <f>MID(HEX2BIN($M247,8),COLUMNS($M247:Q247),1)</f>
        <v>0</v>
      </c>
      <c r="S247" s="2" t="str">
        <f>MID(HEX2BIN($M247,8),COLUMNS($M247:R247),1)</f>
        <v>0</v>
      </c>
      <c r="T247" s="2" t="str">
        <f>MID(HEX2BIN($M247,8),COLUMNS($M247:S247),1)</f>
        <v>0</v>
      </c>
      <c r="U247" s="5" t="str">
        <f>MID(HEX2BIN($M247,8),COLUMNS($M247:T247),1)</f>
        <v>1</v>
      </c>
    </row>
    <row r="248" spans="10:21" x14ac:dyDescent="0.25">
      <c r="J248" s="64"/>
      <c r="K248" s="32"/>
      <c r="M248" s="3" t="str">
        <f t="shared" si="6"/>
        <v>F2</v>
      </c>
      <c r="N248" s="2" t="str">
        <f>MID(HEX2BIN($M248,8),COLUMNS($M248:M248),1)</f>
        <v>1</v>
      </c>
      <c r="O248" s="2" t="str">
        <f>MID(HEX2BIN($M248,8),COLUMNS($M248:N248),1)</f>
        <v>1</v>
      </c>
      <c r="P248" s="2" t="str">
        <f>MID(HEX2BIN($M248,8),COLUMNS($M248:O248),1)</f>
        <v>1</v>
      </c>
      <c r="Q248" s="2" t="str">
        <f>MID(HEX2BIN($M248,8),COLUMNS($M248:P248),1)</f>
        <v>1</v>
      </c>
      <c r="R248" s="2" t="str">
        <f>MID(HEX2BIN($M248,8),COLUMNS($M248:Q248),1)</f>
        <v>0</v>
      </c>
      <c r="S248" s="2" t="str">
        <f>MID(HEX2BIN($M248,8),COLUMNS($M248:R248),1)</f>
        <v>0</v>
      </c>
      <c r="T248" s="2" t="str">
        <f>MID(HEX2BIN($M248,8),COLUMNS($M248:S248),1)</f>
        <v>1</v>
      </c>
      <c r="U248" s="5" t="str">
        <f>MID(HEX2BIN($M248,8),COLUMNS($M248:T248),1)</f>
        <v>0</v>
      </c>
    </row>
    <row r="249" spans="10:21" x14ac:dyDescent="0.25">
      <c r="J249" s="64"/>
      <c r="K249" s="32"/>
      <c r="M249" s="3" t="str">
        <f t="shared" si="6"/>
        <v>F3</v>
      </c>
      <c r="N249" s="2" t="str">
        <f>MID(HEX2BIN($M249,8),COLUMNS($M249:M249),1)</f>
        <v>1</v>
      </c>
      <c r="O249" s="2" t="str">
        <f>MID(HEX2BIN($M249,8),COLUMNS($M249:N249),1)</f>
        <v>1</v>
      </c>
      <c r="P249" s="2" t="str">
        <f>MID(HEX2BIN($M249,8),COLUMNS($M249:O249),1)</f>
        <v>1</v>
      </c>
      <c r="Q249" s="2" t="str">
        <f>MID(HEX2BIN($M249,8),COLUMNS($M249:P249),1)</f>
        <v>1</v>
      </c>
      <c r="R249" s="2" t="str">
        <f>MID(HEX2BIN($M249,8),COLUMNS($M249:Q249),1)</f>
        <v>0</v>
      </c>
      <c r="S249" s="2" t="str">
        <f>MID(HEX2BIN($M249,8),COLUMNS($M249:R249),1)</f>
        <v>0</v>
      </c>
      <c r="T249" s="2" t="str">
        <f>MID(HEX2BIN($M249,8),COLUMNS($M249:S249),1)</f>
        <v>1</v>
      </c>
      <c r="U249" s="5" t="str">
        <f>MID(HEX2BIN($M249,8),COLUMNS($M249:T249),1)</f>
        <v>1</v>
      </c>
    </row>
    <row r="250" spans="10:21" x14ac:dyDescent="0.25">
      <c r="J250" s="64"/>
      <c r="K250" s="32"/>
      <c r="M250" s="3" t="str">
        <f t="shared" si="6"/>
        <v>F4</v>
      </c>
      <c r="N250" s="2" t="str">
        <f>MID(HEX2BIN($M250,8),COLUMNS($M250:M250),1)</f>
        <v>1</v>
      </c>
      <c r="O250" s="2" t="str">
        <f>MID(HEX2BIN($M250,8),COLUMNS($M250:N250),1)</f>
        <v>1</v>
      </c>
      <c r="P250" s="2" t="str">
        <f>MID(HEX2BIN($M250,8),COLUMNS($M250:O250),1)</f>
        <v>1</v>
      </c>
      <c r="Q250" s="2" t="str">
        <f>MID(HEX2BIN($M250,8),COLUMNS($M250:P250),1)</f>
        <v>1</v>
      </c>
      <c r="R250" s="2" t="str">
        <f>MID(HEX2BIN($M250,8),COLUMNS($M250:Q250),1)</f>
        <v>0</v>
      </c>
      <c r="S250" s="2" t="str">
        <f>MID(HEX2BIN($M250,8),COLUMNS($M250:R250),1)</f>
        <v>1</v>
      </c>
      <c r="T250" s="2" t="str">
        <f>MID(HEX2BIN($M250,8),COLUMNS($M250:S250),1)</f>
        <v>0</v>
      </c>
      <c r="U250" s="5" t="str">
        <f>MID(HEX2BIN($M250,8),COLUMNS($M250:T250),1)</f>
        <v>0</v>
      </c>
    </row>
    <row r="251" spans="10:21" x14ac:dyDescent="0.25">
      <c r="M251" s="3" t="str">
        <f t="shared" si="6"/>
        <v>F5</v>
      </c>
      <c r="N251" s="2" t="str">
        <f>MID(HEX2BIN($M251,8),COLUMNS($M251:M251),1)</f>
        <v>1</v>
      </c>
      <c r="O251" s="2" t="str">
        <f>MID(HEX2BIN($M251,8),COLUMNS($M251:N251),1)</f>
        <v>1</v>
      </c>
      <c r="P251" s="2" t="str">
        <f>MID(HEX2BIN($M251,8),COLUMNS($M251:O251),1)</f>
        <v>1</v>
      </c>
      <c r="Q251" s="2" t="str">
        <f>MID(HEX2BIN($M251,8),COLUMNS($M251:P251),1)</f>
        <v>1</v>
      </c>
      <c r="R251" s="2" t="str">
        <f>MID(HEX2BIN($M251,8),COLUMNS($M251:Q251),1)</f>
        <v>0</v>
      </c>
      <c r="S251" s="2" t="str">
        <f>MID(HEX2BIN($M251,8),COLUMNS($M251:R251),1)</f>
        <v>1</v>
      </c>
      <c r="T251" s="2" t="str">
        <f>MID(HEX2BIN($M251,8),COLUMNS($M251:S251),1)</f>
        <v>0</v>
      </c>
      <c r="U251" s="5" t="str">
        <f>MID(HEX2BIN($M251,8),COLUMNS($M251:T251),1)</f>
        <v>1</v>
      </c>
    </row>
    <row r="252" spans="10:21" x14ac:dyDescent="0.25">
      <c r="M252" s="3" t="str">
        <f t="shared" si="6"/>
        <v>F6</v>
      </c>
      <c r="N252" s="2" t="str">
        <f>MID(HEX2BIN($M252,8),COLUMNS($M252:M252),1)</f>
        <v>1</v>
      </c>
      <c r="O252" s="2" t="str">
        <f>MID(HEX2BIN($M252,8),COLUMNS($M252:N252),1)</f>
        <v>1</v>
      </c>
      <c r="P252" s="2" t="str">
        <f>MID(HEX2BIN($M252,8),COLUMNS($M252:O252),1)</f>
        <v>1</v>
      </c>
      <c r="Q252" s="2" t="str">
        <f>MID(HEX2BIN($M252,8),COLUMNS($M252:P252),1)</f>
        <v>1</v>
      </c>
      <c r="R252" s="2" t="str">
        <f>MID(HEX2BIN($M252,8),COLUMNS($M252:Q252),1)</f>
        <v>0</v>
      </c>
      <c r="S252" s="2" t="str">
        <f>MID(HEX2BIN($M252,8),COLUMNS($M252:R252),1)</f>
        <v>1</v>
      </c>
      <c r="T252" s="2" t="str">
        <f>MID(HEX2BIN($M252,8),COLUMNS($M252:S252),1)</f>
        <v>1</v>
      </c>
      <c r="U252" s="5" t="str">
        <f>MID(HEX2BIN($M252,8),COLUMNS($M252:T252),1)</f>
        <v>0</v>
      </c>
    </row>
    <row r="253" spans="10:21" x14ac:dyDescent="0.25">
      <c r="M253" s="3" t="str">
        <f t="shared" si="6"/>
        <v>F7</v>
      </c>
      <c r="N253" s="2" t="str">
        <f>MID(HEX2BIN($M253,8),COLUMNS($M253:M253),1)</f>
        <v>1</v>
      </c>
      <c r="O253" s="2" t="str">
        <f>MID(HEX2BIN($M253,8),COLUMNS($M253:N253),1)</f>
        <v>1</v>
      </c>
      <c r="P253" s="2" t="str">
        <f>MID(HEX2BIN($M253,8),COLUMNS($M253:O253),1)</f>
        <v>1</v>
      </c>
      <c r="Q253" s="2" t="str">
        <f>MID(HEX2BIN($M253,8),COLUMNS($M253:P253),1)</f>
        <v>1</v>
      </c>
      <c r="R253" s="2" t="str">
        <f>MID(HEX2BIN($M253,8),COLUMNS($M253:Q253),1)</f>
        <v>0</v>
      </c>
      <c r="S253" s="2" t="str">
        <f>MID(HEX2BIN($M253,8),COLUMNS($M253:R253),1)</f>
        <v>1</v>
      </c>
      <c r="T253" s="2" t="str">
        <f>MID(HEX2BIN($M253,8),COLUMNS($M253:S253),1)</f>
        <v>1</v>
      </c>
      <c r="U253" s="5" t="str">
        <f>MID(HEX2BIN($M253,8),COLUMNS($M253:T253),1)</f>
        <v>1</v>
      </c>
    </row>
    <row r="254" spans="10:21" x14ac:dyDescent="0.25">
      <c r="M254" s="3" t="str">
        <f t="shared" si="6"/>
        <v>F8</v>
      </c>
      <c r="N254" s="2" t="str">
        <f>MID(HEX2BIN($M254,8),COLUMNS($M254:M254),1)</f>
        <v>1</v>
      </c>
      <c r="O254" s="2" t="str">
        <f>MID(HEX2BIN($M254,8),COLUMNS($M254:N254),1)</f>
        <v>1</v>
      </c>
      <c r="P254" s="2" t="str">
        <f>MID(HEX2BIN($M254,8),COLUMNS($M254:O254),1)</f>
        <v>1</v>
      </c>
      <c r="Q254" s="2" t="str">
        <f>MID(HEX2BIN($M254,8),COLUMNS($M254:P254),1)</f>
        <v>1</v>
      </c>
      <c r="R254" s="2" t="str">
        <f>MID(HEX2BIN($M254,8),COLUMNS($M254:Q254),1)</f>
        <v>1</v>
      </c>
      <c r="S254" s="2" t="str">
        <f>MID(HEX2BIN($M254,8),COLUMNS($M254:R254),1)</f>
        <v>0</v>
      </c>
      <c r="T254" s="2" t="str">
        <f>MID(HEX2BIN($M254,8),COLUMNS($M254:S254),1)</f>
        <v>0</v>
      </c>
      <c r="U254" s="5" t="str">
        <f>MID(HEX2BIN($M254,8),COLUMNS($M254:T254),1)</f>
        <v>0</v>
      </c>
    </row>
    <row r="255" spans="10:21" x14ac:dyDescent="0.25">
      <c r="M255" s="3" t="str">
        <f t="shared" si="6"/>
        <v>F9</v>
      </c>
      <c r="N255" s="2" t="str">
        <f>MID(HEX2BIN($M255,8),COLUMNS($M255:M255),1)</f>
        <v>1</v>
      </c>
      <c r="O255" s="2" t="str">
        <f>MID(HEX2BIN($M255,8),COLUMNS($M255:N255),1)</f>
        <v>1</v>
      </c>
      <c r="P255" s="2" t="str">
        <f>MID(HEX2BIN($M255,8),COLUMNS($M255:O255),1)</f>
        <v>1</v>
      </c>
      <c r="Q255" s="2" t="str">
        <f>MID(HEX2BIN($M255,8),COLUMNS($M255:P255),1)</f>
        <v>1</v>
      </c>
      <c r="R255" s="2" t="str">
        <f>MID(HEX2BIN($M255,8),COLUMNS($M255:Q255),1)</f>
        <v>1</v>
      </c>
      <c r="S255" s="2" t="str">
        <f>MID(HEX2BIN($M255,8),COLUMNS($M255:R255),1)</f>
        <v>0</v>
      </c>
      <c r="T255" s="2" t="str">
        <f>MID(HEX2BIN($M255,8),COLUMNS($M255:S255),1)</f>
        <v>0</v>
      </c>
      <c r="U255" s="5" t="str">
        <f>MID(HEX2BIN($M255,8),COLUMNS($M255:T255),1)</f>
        <v>1</v>
      </c>
    </row>
    <row r="256" spans="10:21" x14ac:dyDescent="0.25">
      <c r="M256" s="3" t="str">
        <f t="shared" si="6"/>
        <v>FA</v>
      </c>
      <c r="N256" s="2" t="str">
        <f>MID(HEX2BIN($M256,8),COLUMNS($M256:M256),1)</f>
        <v>1</v>
      </c>
      <c r="O256" s="2" t="str">
        <f>MID(HEX2BIN($M256,8),COLUMNS($M256:N256),1)</f>
        <v>1</v>
      </c>
      <c r="P256" s="2" t="str">
        <f>MID(HEX2BIN($M256,8),COLUMNS($M256:O256),1)</f>
        <v>1</v>
      </c>
      <c r="Q256" s="2" t="str">
        <f>MID(HEX2BIN($M256,8),COLUMNS($M256:P256),1)</f>
        <v>1</v>
      </c>
      <c r="R256" s="2" t="str">
        <f>MID(HEX2BIN($M256,8),COLUMNS($M256:Q256),1)</f>
        <v>1</v>
      </c>
      <c r="S256" s="2" t="str">
        <f>MID(HEX2BIN($M256,8),COLUMNS($M256:R256),1)</f>
        <v>0</v>
      </c>
      <c r="T256" s="2" t="str">
        <f>MID(HEX2BIN($M256,8),COLUMNS($M256:S256),1)</f>
        <v>1</v>
      </c>
      <c r="U256" s="5" t="str">
        <f>MID(HEX2BIN($M256,8),COLUMNS($M256:T256),1)</f>
        <v>0</v>
      </c>
    </row>
    <row r="257" spans="13:21" x14ac:dyDescent="0.25">
      <c r="M257" s="3" t="str">
        <f t="shared" si="6"/>
        <v>FB</v>
      </c>
      <c r="N257" s="2" t="str">
        <f>MID(HEX2BIN($M257,8),COLUMNS($M257:M257),1)</f>
        <v>1</v>
      </c>
      <c r="O257" s="2" t="str">
        <f>MID(HEX2BIN($M257,8),COLUMNS($M257:N257),1)</f>
        <v>1</v>
      </c>
      <c r="P257" s="2" t="str">
        <f>MID(HEX2BIN($M257,8),COLUMNS($M257:O257),1)</f>
        <v>1</v>
      </c>
      <c r="Q257" s="2" t="str">
        <f>MID(HEX2BIN($M257,8),COLUMNS($M257:P257),1)</f>
        <v>1</v>
      </c>
      <c r="R257" s="2" t="str">
        <f>MID(HEX2BIN($M257,8),COLUMNS($M257:Q257),1)</f>
        <v>1</v>
      </c>
      <c r="S257" s="2" t="str">
        <f>MID(HEX2BIN($M257,8),COLUMNS($M257:R257),1)</f>
        <v>0</v>
      </c>
      <c r="T257" s="2" t="str">
        <f>MID(HEX2BIN($M257,8),COLUMNS($M257:S257),1)</f>
        <v>1</v>
      </c>
      <c r="U257" s="5" t="str">
        <f>MID(HEX2BIN($M257,8),COLUMNS($M257:T257),1)</f>
        <v>1</v>
      </c>
    </row>
    <row r="258" spans="13:21" x14ac:dyDescent="0.25">
      <c r="M258" s="3" t="str">
        <f t="shared" si="6"/>
        <v>FC</v>
      </c>
      <c r="N258" s="2" t="str">
        <f>MID(HEX2BIN($M258,8),COLUMNS($M258:M258),1)</f>
        <v>1</v>
      </c>
      <c r="O258" s="2" t="str">
        <f>MID(HEX2BIN($M258,8),COLUMNS($M258:N258),1)</f>
        <v>1</v>
      </c>
      <c r="P258" s="2" t="str">
        <f>MID(HEX2BIN($M258,8),COLUMNS($M258:O258),1)</f>
        <v>1</v>
      </c>
      <c r="Q258" s="2" t="str">
        <f>MID(HEX2BIN($M258,8),COLUMNS($M258:P258),1)</f>
        <v>1</v>
      </c>
      <c r="R258" s="2" t="str">
        <f>MID(HEX2BIN($M258,8),COLUMNS($M258:Q258),1)</f>
        <v>1</v>
      </c>
      <c r="S258" s="2" t="str">
        <f>MID(HEX2BIN($M258,8),COLUMNS($M258:R258),1)</f>
        <v>1</v>
      </c>
      <c r="T258" s="2" t="str">
        <f>MID(HEX2BIN($M258,8),COLUMNS($M258:S258),1)</f>
        <v>0</v>
      </c>
      <c r="U258" s="5" t="str">
        <f>MID(HEX2BIN($M258,8),COLUMNS($M258:T258),1)</f>
        <v>0</v>
      </c>
    </row>
    <row r="259" spans="13:21" x14ac:dyDescent="0.25">
      <c r="M259" s="3" t="str">
        <f t="shared" si="6"/>
        <v>FD</v>
      </c>
      <c r="N259" s="2" t="str">
        <f>MID(HEX2BIN($M259,8),COLUMNS($M259:M259),1)</f>
        <v>1</v>
      </c>
      <c r="O259" s="2" t="str">
        <f>MID(HEX2BIN($M259,8),COLUMNS($M259:N259),1)</f>
        <v>1</v>
      </c>
      <c r="P259" s="2" t="str">
        <f>MID(HEX2BIN($M259,8),COLUMNS($M259:O259),1)</f>
        <v>1</v>
      </c>
      <c r="Q259" s="2" t="str">
        <f>MID(HEX2BIN($M259,8),COLUMNS($M259:P259),1)</f>
        <v>1</v>
      </c>
      <c r="R259" s="2" t="str">
        <f>MID(HEX2BIN($M259,8),COLUMNS($M259:Q259),1)</f>
        <v>1</v>
      </c>
      <c r="S259" s="2" t="str">
        <f>MID(HEX2BIN($M259,8),COLUMNS($M259:R259),1)</f>
        <v>1</v>
      </c>
      <c r="T259" s="2" t="str">
        <f>MID(HEX2BIN($M259,8),COLUMNS($M259:S259),1)</f>
        <v>0</v>
      </c>
      <c r="U259" s="5" t="str">
        <f>MID(HEX2BIN($M259,8),COLUMNS($M259:T259),1)</f>
        <v>1</v>
      </c>
    </row>
    <row r="260" spans="13:21" x14ac:dyDescent="0.25">
      <c r="M260" s="3" t="str">
        <f t="shared" si="6"/>
        <v>FE</v>
      </c>
      <c r="N260" s="2" t="str">
        <f>MID(HEX2BIN($M260,8),COLUMNS($M260:M260),1)</f>
        <v>1</v>
      </c>
      <c r="O260" s="2" t="str">
        <f>MID(HEX2BIN($M260,8),COLUMNS($M260:N260),1)</f>
        <v>1</v>
      </c>
      <c r="P260" s="2" t="str">
        <f>MID(HEX2BIN($M260,8),COLUMNS($M260:O260),1)</f>
        <v>1</v>
      </c>
      <c r="Q260" s="2" t="str">
        <f>MID(HEX2BIN($M260,8),COLUMNS($M260:P260),1)</f>
        <v>1</v>
      </c>
      <c r="R260" s="2" t="str">
        <f>MID(HEX2BIN($M260,8),COLUMNS($M260:Q260),1)</f>
        <v>1</v>
      </c>
      <c r="S260" s="2" t="str">
        <f>MID(HEX2BIN($M260,8),COLUMNS($M260:R260),1)</f>
        <v>1</v>
      </c>
      <c r="T260" s="2" t="str">
        <f>MID(HEX2BIN($M260,8),COLUMNS($M260:S260),1)</f>
        <v>1</v>
      </c>
      <c r="U260" s="5" t="str">
        <f>MID(HEX2BIN($M260,8),COLUMNS($M260:T260),1)</f>
        <v>0</v>
      </c>
    </row>
    <row r="261" spans="13:21" x14ac:dyDescent="0.25">
      <c r="M261" s="3" t="str">
        <f t="shared" si="6"/>
        <v>FF</v>
      </c>
      <c r="N261" s="2" t="str">
        <f>MID(HEX2BIN($M261,8),COLUMNS($M261:M261),1)</f>
        <v>1</v>
      </c>
      <c r="O261" s="2" t="str">
        <f>MID(HEX2BIN($M261,8),COLUMNS($M261:N261),1)</f>
        <v>1</v>
      </c>
      <c r="P261" s="2" t="str">
        <f>MID(HEX2BIN($M261,8),COLUMNS($M261:O261),1)</f>
        <v>1</v>
      </c>
      <c r="Q261" s="2" t="str">
        <f>MID(HEX2BIN($M261,8),COLUMNS($M261:P261),1)</f>
        <v>1</v>
      </c>
      <c r="R261" s="2" t="str">
        <f>MID(HEX2BIN($M261,8),COLUMNS($M261:Q261),1)</f>
        <v>1</v>
      </c>
      <c r="S261" s="2" t="str">
        <f>MID(HEX2BIN($M261,8),COLUMNS($M261:R261),1)</f>
        <v>1</v>
      </c>
      <c r="T261" s="2" t="str">
        <f>MID(HEX2BIN($M261,8),COLUMNS($M261:S261),1)</f>
        <v>1</v>
      </c>
      <c r="U261" s="5" t="str">
        <f>MID(HEX2BIN($M261,8),COLUMNS($M261:T261),1)</f>
        <v>1</v>
      </c>
    </row>
  </sheetData>
  <mergeCells count="9">
    <mergeCell ref="BD2:BU2"/>
    <mergeCell ref="AB2:AS2"/>
    <mergeCell ref="B2:G2"/>
    <mergeCell ref="AO3:AS3"/>
    <mergeCell ref="AD3:AJ3"/>
    <mergeCell ref="AK3:AN3"/>
    <mergeCell ref="AT2:BC2"/>
    <mergeCell ref="V2:AA2"/>
    <mergeCell ref="H2:M2"/>
  </mergeCells>
  <phoneticPr fontId="12" type="noConversion"/>
  <conditionalFormatting sqref="H6:I6">
    <cfRule type="expression" dxfId="26" priority="16">
      <formula>AND($M6&lt;&gt;"",H6="")</formula>
    </cfRule>
  </conditionalFormatting>
  <conditionalFormatting sqref="H20:I21 H22">
    <cfRule type="expression" dxfId="25" priority="9">
      <formula>AND($M16&lt;&gt;"",H20="")</formula>
    </cfRule>
  </conditionalFormatting>
  <conditionalFormatting sqref="H8:L9 K10:L11 L12:L22 H6:H7 H10:I11">
    <cfRule type="expression" dxfId="24" priority="14">
      <formula>AND($M6&lt;&gt;"",H6="")</formula>
    </cfRule>
  </conditionalFormatting>
  <conditionalFormatting sqref="J6:J7">
    <cfRule type="expression" dxfId="23" priority="4">
      <formula>AND($M6&lt;&gt;"",J6="")</formula>
    </cfRule>
  </conditionalFormatting>
  <conditionalFormatting sqref="J10:J13">
    <cfRule type="expression" dxfId="22" priority="3">
      <formula>AND($M10&lt;&gt;"",J10="")</formula>
    </cfRule>
  </conditionalFormatting>
  <conditionalFormatting sqref="J14">
    <cfRule type="expression" dxfId="21" priority="5">
      <formula>AND($M15&lt;&gt;"",J14="")</formula>
    </cfRule>
  </conditionalFormatting>
  <conditionalFormatting sqref="J20">
    <cfRule type="expression" dxfId="20" priority="2">
      <formula>AND($M21&lt;&gt;"",J20="")</formula>
    </cfRule>
  </conditionalFormatting>
  <conditionalFormatting sqref="J21">
    <cfRule type="expression" dxfId="19" priority="6">
      <formula>AND($M21&lt;&gt;"",J21="")</formula>
    </cfRule>
  </conditionalFormatting>
  <conditionalFormatting sqref="J22">
    <cfRule type="expression" dxfId="18" priority="1">
      <formula>AND($M23&lt;&gt;"",J22="")</formula>
    </cfRule>
  </conditionalFormatting>
  <conditionalFormatting sqref="K6:L7 I7">
    <cfRule type="expression" dxfId="17" priority="15">
      <formula>AND($M6&lt;&gt;"",I6="")</formula>
    </cfRule>
  </conditionalFormatting>
  <conditionalFormatting sqref="K12:L14 H15:L19 L20:L22 H12:I14">
    <cfRule type="expression" dxfId="16" priority="17">
      <formula>AND($M13&lt;&gt;"",H12="")</formula>
    </cfRule>
  </conditionalFormatting>
  <conditionalFormatting sqref="K20:L22">
    <cfRule type="expression" dxfId="15" priority="10">
      <formula>AND($M16&lt;&gt;"",K20="")</formula>
    </cfRule>
  </conditionalFormatting>
  <conditionalFormatting sqref="L6:L250">
    <cfRule type="expression" dxfId="14" priority="13">
      <formula>COUNTIF($L$6:L6,L6)&gt;1</formula>
    </cfRule>
  </conditionalFormatting>
  <conditionalFormatting sqref="L9">
    <cfRule type="expression" dxfId="13" priority="11">
      <formula>COUNTIF($L$6:L9,L9)&gt;1</formula>
    </cfRule>
    <cfRule type="expression" dxfId="12" priority="12">
      <formula>AND($M9&lt;&gt;"",L9="")</formula>
    </cfRule>
  </conditionalFormatting>
  <conditionalFormatting sqref="L22 H23:L250 I22">
    <cfRule type="expression" dxfId="11" priority="490">
      <formula>AND($M33&lt;&gt;"",H22="")</formula>
    </cfRule>
  </conditionalFormatting>
  <conditionalFormatting sqref="AB6:AB8">
    <cfRule type="expression" dxfId="10" priority="170">
      <formula>COUNTIF($V$6:AB7,AB6)&gt;1</formula>
    </cfRule>
  </conditionalFormatting>
  <dataValidations count="8">
    <dataValidation type="whole" allowBlank="1" showInputMessage="1" showErrorMessage="1" sqref="AC6" xr:uid="{00000000-0002-0000-0200-000004000000}">
      <formula1>2000</formula1>
      <formula2>2127</formula2>
    </dataValidation>
    <dataValidation type="whole" allowBlank="1" showInputMessage="1" showErrorMessage="1" sqref="AC7" xr:uid="{00000000-0002-0000-0200-000005000000}">
      <formula1>1</formula1>
      <formula2>12</formula2>
    </dataValidation>
    <dataValidation type="whole" allowBlank="1" showInputMessage="1" showErrorMessage="1" sqref="AC8" xr:uid="{00000000-0002-0000-0200-000006000000}">
      <formula1>1</formula1>
      <formula2>31</formula2>
    </dataValidation>
    <dataValidation type="list" allowBlank="1" showInputMessage="1" showErrorMessage="1" sqref="V6:V12 V19:V21" xr:uid="{00000000-0002-0000-0200-000007000000}">
      <formula1>PackSupplier</formula1>
    </dataValidation>
    <dataValidation type="list" allowBlank="1" showInputMessage="1" showErrorMessage="1" sqref="J6:J250" xr:uid="{00000000-0002-0000-0200-000001000000}">
      <formula1>BALcellPtNum</formula1>
    </dataValidation>
    <dataValidation type="list" allowBlank="1" showInputMessage="1" showErrorMessage="1" sqref="H6:H250" xr:uid="{00000000-0002-0000-0200-000000000000}">
      <formula1>BMSsupplier</formula1>
    </dataValidation>
    <dataValidation type="list" allowBlank="1" showInputMessage="1" showErrorMessage="1" sqref="K6:K250" xr:uid="{00000000-0002-0000-0200-000002000000}">
      <formula1>BatteryConfig</formula1>
    </dataValidation>
    <dataValidation type="list" allowBlank="1" showInputMessage="1" showErrorMessage="1" sqref="I6:I250" xr:uid="{00000000-0002-0000-0200-000003000000}">
      <formula1>BMSmfg</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DB!$A$3:$A$33</xm:f>
          </x14:formula1>
          <xm:sqref>C6:C29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M31"/>
  <sheetViews>
    <sheetView zoomScale="115" zoomScaleNormal="115" workbookViewId="0">
      <selection activeCell="H17" sqref="H17:H18"/>
    </sheetView>
  </sheetViews>
  <sheetFormatPr defaultRowHeight="15" x14ac:dyDescent="0.25"/>
  <cols>
    <col min="1" max="1" width="8.85546875" style="55" bestFit="1" customWidth="1"/>
    <col min="2" max="2" width="27" style="1" bestFit="1" customWidth="1"/>
    <col min="3" max="3" width="27" style="19" bestFit="1" customWidth="1"/>
    <col min="4" max="4" width="12.28515625" style="1" bestFit="1" customWidth="1"/>
    <col min="5" max="5" width="15.28515625" style="19" bestFit="1" customWidth="1"/>
    <col min="6" max="6" width="11.28515625" style="1" bestFit="1" customWidth="1"/>
    <col min="7" max="7" width="16" style="19" bestFit="1" customWidth="1"/>
    <col min="8" max="8" width="20.42578125" style="1" customWidth="1"/>
    <col min="9" max="9" width="45" style="19" customWidth="1"/>
    <col min="10" max="10" width="5" style="15" bestFit="1" customWidth="1"/>
    <col min="11" max="11" width="8.7109375" style="21" customWidth="1"/>
    <col min="12" max="12" width="12.42578125" style="17" bestFit="1" customWidth="1"/>
    <col min="13" max="13" width="27.85546875" style="21" bestFit="1" customWidth="1"/>
  </cols>
  <sheetData>
    <row r="1" spans="1:13" s="13" customFormat="1" x14ac:dyDescent="0.25">
      <c r="A1" s="104" t="s">
        <v>91</v>
      </c>
      <c r="B1" s="105"/>
      <c r="C1" s="49"/>
      <c r="D1" s="100" t="s">
        <v>26</v>
      </c>
      <c r="E1" s="101"/>
      <c r="F1" s="101"/>
      <c r="G1" s="101"/>
      <c r="H1" s="101"/>
      <c r="I1" s="101"/>
      <c r="J1" s="101"/>
      <c r="K1" s="102"/>
      <c r="L1" s="103" t="s">
        <v>27</v>
      </c>
      <c r="M1" s="104"/>
    </row>
    <row r="2" spans="1:13" s="13" customFormat="1" x14ac:dyDescent="0.25">
      <c r="A2" s="57" t="s">
        <v>100</v>
      </c>
      <c r="B2" s="14" t="s">
        <v>104</v>
      </c>
      <c r="C2" s="48" t="s">
        <v>101</v>
      </c>
      <c r="D2" s="100" t="s">
        <v>30</v>
      </c>
      <c r="E2" s="106"/>
      <c r="F2" s="100" t="s">
        <v>42</v>
      </c>
      <c r="G2" s="106"/>
      <c r="H2" s="100" t="s">
        <v>43</v>
      </c>
      <c r="I2" s="106"/>
      <c r="J2" s="100" t="s">
        <v>31</v>
      </c>
      <c r="K2" s="102"/>
      <c r="L2" s="16" t="s">
        <v>27</v>
      </c>
      <c r="M2" s="20"/>
    </row>
    <row r="3" spans="1:13" x14ac:dyDescent="0.25">
      <c r="A3" s="55">
        <v>0</v>
      </c>
      <c r="B3" s="1" t="s">
        <v>144</v>
      </c>
      <c r="D3" s="1" t="s">
        <v>23</v>
      </c>
      <c r="E3" s="19" t="s">
        <v>40</v>
      </c>
      <c r="F3" s="1" t="s">
        <v>23</v>
      </c>
      <c r="G3" s="19" t="s">
        <v>40</v>
      </c>
      <c r="H3" s="1" t="s">
        <v>144</v>
      </c>
      <c r="I3" s="19" t="s">
        <v>144</v>
      </c>
      <c r="J3" s="15" t="s">
        <v>34</v>
      </c>
      <c r="L3" s="17" t="s">
        <v>68</v>
      </c>
      <c r="M3" s="21" t="s">
        <v>71</v>
      </c>
    </row>
    <row r="4" spans="1:13" x14ac:dyDescent="0.25">
      <c r="A4" s="55">
        <v>1</v>
      </c>
      <c r="B4" s="1" t="s">
        <v>88</v>
      </c>
      <c r="D4" s="1" t="s">
        <v>144</v>
      </c>
      <c r="E4" s="19" t="s">
        <v>144</v>
      </c>
      <c r="F4" s="1" t="s">
        <v>144</v>
      </c>
      <c r="G4" s="19" t="s">
        <v>144</v>
      </c>
      <c r="H4" s="1" t="s">
        <v>145</v>
      </c>
      <c r="I4" s="19" t="s">
        <v>145</v>
      </c>
      <c r="J4" s="15" t="s">
        <v>33</v>
      </c>
      <c r="L4" s="17" t="s">
        <v>23</v>
      </c>
      <c r="M4" s="21" t="s">
        <v>40</v>
      </c>
    </row>
    <row r="5" spans="1:13" x14ac:dyDescent="0.25">
      <c r="A5" s="55">
        <v>2</v>
      </c>
      <c r="B5" s="1" t="s">
        <v>140</v>
      </c>
      <c r="D5" s="1" t="s">
        <v>145</v>
      </c>
      <c r="E5" s="19" t="s">
        <v>145</v>
      </c>
      <c r="F5" s="1" t="s">
        <v>145</v>
      </c>
      <c r="G5" s="19" t="s">
        <v>145</v>
      </c>
      <c r="H5" s="1" t="s">
        <v>146</v>
      </c>
      <c r="I5" s="19" t="s">
        <v>146</v>
      </c>
      <c r="L5" s="17" t="s">
        <v>144</v>
      </c>
      <c r="M5" s="19" t="s">
        <v>144</v>
      </c>
    </row>
    <row r="6" spans="1:13" x14ac:dyDescent="0.25">
      <c r="A6" s="55">
        <v>3</v>
      </c>
      <c r="B6" s="1" t="s">
        <v>89</v>
      </c>
      <c r="C6" s="19" t="s">
        <v>121</v>
      </c>
      <c r="D6" s="1" t="s">
        <v>146</v>
      </c>
      <c r="E6" s="19" t="s">
        <v>146</v>
      </c>
      <c r="F6" s="1" t="s">
        <v>84</v>
      </c>
      <c r="G6" s="19" t="s">
        <v>87</v>
      </c>
      <c r="H6" s="1" t="s">
        <v>147</v>
      </c>
      <c r="I6" s="19" t="s">
        <v>147</v>
      </c>
      <c r="L6" s="17" t="s">
        <v>78</v>
      </c>
      <c r="M6" s="21" t="s">
        <v>79</v>
      </c>
    </row>
    <row r="7" spans="1:13" x14ac:dyDescent="0.25">
      <c r="A7" s="55">
        <v>4</v>
      </c>
      <c r="B7" s="1" t="s">
        <v>90</v>
      </c>
      <c r="C7" s="19" t="s">
        <v>122</v>
      </c>
      <c r="D7" s="1" t="s">
        <v>78</v>
      </c>
      <c r="E7" s="19" t="s">
        <v>79</v>
      </c>
      <c r="F7" s="1" t="s">
        <v>85</v>
      </c>
      <c r="G7" s="19" t="s">
        <v>86</v>
      </c>
      <c r="H7" s="1" t="s">
        <v>148</v>
      </c>
      <c r="I7" s="19" t="s">
        <v>148</v>
      </c>
      <c r="L7" s="17" t="s">
        <v>82</v>
      </c>
      <c r="M7" s="21" t="s">
        <v>83</v>
      </c>
    </row>
    <row r="8" spans="1:13" x14ac:dyDescent="0.25">
      <c r="A8" s="55">
        <v>5</v>
      </c>
      <c r="B8" s="1" t="s">
        <v>97</v>
      </c>
      <c r="C8" s="19" t="s">
        <v>99</v>
      </c>
      <c r="D8" s="1" t="s">
        <v>147</v>
      </c>
      <c r="E8" s="19" t="s">
        <v>147</v>
      </c>
      <c r="F8" s="1" t="s">
        <v>146</v>
      </c>
      <c r="G8" s="19" t="s">
        <v>146</v>
      </c>
      <c r="H8" s="1" t="s">
        <v>149</v>
      </c>
      <c r="I8" s="19" t="s">
        <v>149</v>
      </c>
      <c r="L8" s="17" t="s">
        <v>145</v>
      </c>
      <c r="M8" s="19" t="s">
        <v>145</v>
      </c>
    </row>
    <row r="9" spans="1:13" x14ac:dyDescent="0.25">
      <c r="A9" s="55">
        <v>6</v>
      </c>
      <c r="B9" s="1" t="s">
        <v>145</v>
      </c>
      <c r="C9" s="47"/>
      <c r="D9" s="1" t="s">
        <v>148</v>
      </c>
      <c r="E9" s="19" t="s">
        <v>148</v>
      </c>
      <c r="F9" s="1" t="s">
        <v>147</v>
      </c>
      <c r="G9" s="19" t="s">
        <v>147</v>
      </c>
      <c r="H9" s="1" t="s">
        <v>106</v>
      </c>
      <c r="I9" s="19" t="s">
        <v>81</v>
      </c>
    </row>
    <row r="10" spans="1:13" x14ac:dyDescent="0.25">
      <c r="A10" s="55">
        <v>7</v>
      </c>
      <c r="B10" s="1" t="s">
        <v>146</v>
      </c>
      <c r="C10" s="47"/>
      <c r="F10" s="1" t="s">
        <v>148</v>
      </c>
      <c r="G10" s="19" t="s">
        <v>148</v>
      </c>
      <c r="H10" s="1" t="s">
        <v>105</v>
      </c>
      <c r="I10" s="19" t="s">
        <v>80</v>
      </c>
    </row>
    <row r="11" spans="1:13" x14ac:dyDescent="0.25">
      <c r="A11" s="55">
        <v>8</v>
      </c>
      <c r="B11" s="1" t="s">
        <v>147</v>
      </c>
      <c r="C11" s="47"/>
      <c r="F11" s="1" t="s">
        <v>149</v>
      </c>
      <c r="G11" s="19" t="s">
        <v>149</v>
      </c>
      <c r="H11" s="1" t="s">
        <v>142</v>
      </c>
      <c r="I11" s="19" t="s">
        <v>142</v>
      </c>
    </row>
    <row r="12" spans="1:13" x14ac:dyDescent="0.25">
      <c r="A12" s="55">
        <v>9</v>
      </c>
      <c r="B12" s="1" t="s">
        <v>148</v>
      </c>
      <c r="F12" s="1" t="s">
        <v>126</v>
      </c>
      <c r="G12" s="19" t="s">
        <v>127</v>
      </c>
      <c r="H12" s="1" t="s">
        <v>143</v>
      </c>
      <c r="I12" s="19" t="s">
        <v>143</v>
      </c>
    </row>
    <row r="13" spans="1:13" x14ac:dyDescent="0.25">
      <c r="A13" s="55">
        <v>10</v>
      </c>
      <c r="B13" s="1" t="s">
        <v>149</v>
      </c>
      <c r="H13" s="1" t="s">
        <v>150</v>
      </c>
      <c r="I13" s="19" t="s">
        <v>150</v>
      </c>
    </row>
    <row r="14" spans="1:13" x14ac:dyDescent="0.25">
      <c r="A14" s="55">
        <v>11</v>
      </c>
      <c r="B14" s="1" t="s">
        <v>154</v>
      </c>
      <c r="H14" s="1" t="s">
        <v>151</v>
      </c>
      <c r="I14" s="19" t="s">
        <v>151</v>
      </c>
    </row>
    <row r="15" spans="1:13" x14ac:dyDescent="0.25">
      <c r="A15" s="55">
        <v>12</v>
      </c>
      <c r="B15" s="1" t="s">
        <v>155</v>
      </c>
      <c r="H15" s="1" t="s">
        <v>152</v>
      </c>
      <c r="I15" s="19" t="s">
        <v>152</v>
      </c>
    </row>
    <row r="16" spans="1:13" x14ac:dyDescent="0.25">
      <c r="A16" s="55">
        <v>13</v>
      </c>
      <c r="B16" s="56" t="s">
        <v>111</v>
      </c>
      <c r="C16" s="19" t="s">
        <v>123</v>
      </c>
      <c r="H16" s="1" t="s">
        <v>153</v>
      </c>
      <c r="I16" s="19" t="s">
        <v>153</v>
      </c>
    </row>
    <row r="17" spans="1:9" x14ac:dyDescent="0.25">
      <c r="A17" s="55">
        <v>14</v>
      </c>
      <c r="B17" s="56" t="s">
        <v>112</v>
      </c>
      <c r="C17" s="19" t="s">
        <v>124</v>
      </c>
      <c r="H17" s="64" t="s">
        <v>162</v>
      </c>
      <c r="I17" s="19" t="s">
        <v>164</v>
      </c>
    </row>
    <row r="18" spans="1:9" x14ac:dyDescent="0.25">
      <c r="A18" s="55">
        <v>15</v>
      </c>
      <c r="B18" s="56" t="s">
        <v>113</v>
      </c>
      <c r="C18" s="19" t="s">
        <v>125</v>
      </c>
      <c r="H18" s="64" t="s">
        <v>163</v>
      </c>
      <c r="I18" s="19" t="s">
        <v>161</v>
      </c>
    </row>
    <row r="19" spans="1:9" ht="15.75" x14ac:dyDescent="0.25">
      <c r="A19" s="55">
        <v>16</v>
      </c>
      <c r="B19" s="56" t="s">
        <v>114</v>
      </c>
      <c r="C19" s="19" t="s">
        <v>156</v>
      </c>
      <c r="H19" s="65"/>
    </row>
    <row r="20" spans="1:9" ht="15.75" x14ac:dyDescent="0.25">
      <c r="A20" s="55">
        <v>17</v>
      </c>
      <c r="B20" s="56" t="s">
        <v>115</v>
      </c>
      <c r="C20" s="19" t="s">
        <v>157</v>
      </c>
      <c r="H20" s="65"/>
    </row>
    <row r="21" spans="1:9" ht="15.75" x14ac:dyDescent="0.25">
      <c r="A21" s="55">
        <v>18</v>
      </c>
      <c r="B21" s="56" t="s">
        <v>116</v>
      </c>
      <c r="C21" s="19" t="s">
        <v>116</v>
      </c>
      <c r="H21" s="65"/>
    </row>
    <row r="22" spans="1:9" ht="15.75" x14ac:dyDescent="0.25">
      <c r="A22" s="55">
        <v>19</v>
      </c>
      <c r="B22" s="56" t="s">
        <v>117</v>
      </c>
      <c r="C22" s="19" t="s">
        <v>117</v>
      </c>
      <c r="H22" s="65"/>
    </row>
    <row r="23" spans="1:9" ht="15.75" x14ac:dyDescent="0.25">
      <c r="A23" s="55">
        <v>20</v>
      </c>
      <c r="B23" s="56" t="s">
        <v>118</v>
      </c>
      <c r="C23" s="19" t="s">
        <v>118</v>
      </c>
      <c r="H23" s="65"/>
    </row>
    <row r="24" spans="1:9" ht="15.75" x14ac:dyDescent="0.25">
      <c r="A24" s="55">
        <v>21</v>
      </c>
      <c r="B24" s="56" t="s">
        <v>119</v>
      </c>
      <c r="C24" s="19" t="s">
        <v>119</v>
      </c>
      <c r="H24" s="65"/>
    </row>
    <row r="25" spans="1:9" ht="15.75" x14ac:dyDescent="0.25">
      <c r="A25" s="55">
        <v>22</v>
      </c>
      <c r="B25" s="1" t="s">
        <v>141</v>
      </c>
      <c r="C25" s="19" t="s">
        <v>120</v>
      </c>
      <c r="H25" s="65"/>
    </row>
    <row r="26" spans="1:9" ht="15.75" x14ac:dyDescent="0.25">
      <c r="A26" s="55">
        <v>23</v>
      </c>
      <c r="B26" s="56" t="s">
        <v>158</v>
      </c>
      <c r="C26" s="19" t="s">
        <v>159</v>
      </c>
      <c r="H26" s="65"/>
    </row>
    <row r="27" spans="1:9" ht="15.75" x14ac:dyDescent="0.25">
      <c r="A27" s="55">
        <v>24</v>
      </c>
      <c r="H27" s="65"/>
    </row>
    <row r="28" spans="1:9" x14ac:dyDescent="0.25">
      <c r="A28" s="55">
        <v>25</v>
      </c>
    </row>
    <row r="29" spans="1:9" x14ac:dyDescent="0.25">
      <c r="A29" s="55">
        <v>26</v>
      </c>
    </row>
    <row r="30" spans="1:9" x14ac:dyDescent="0.25">
      <c r="A30" s="55">
        <v>27</v>
      </c>
    </row>
    <row r="31" spans="1:9" x14ac:dyDescent="0.25">
      <c r="A31" s="55">
        <v>28</v>
      </c>
    </row>
  </sheetData>
  <mergeCells count="7">
    <mergeCell ref="D1:K1"/>
    <mergeCell ref="L1:M1"/>
    <mergeCell ref="A1:B1"/>
    <mergeCell ref="D2:E2"/>
    <mergeCell ref="F2:G2"/>
    <mergeCell ref="H2:I2"/>
    <mergeCell ref="J2:K2"/>
  </mergeCells>
  <phoneticPr fontId="12" type="noConversion"/>
  <conditionalFormatting sqref="H17:H18">
    <cfRule type="expression" dxfId="9" priority="1">
      <formula>AND($M17&lt;&gt;"",H17="")</formula>
    </cfRule>
  </conditionalFormatting>
  <conditionalFormatting sqref="H19:H27">
    <cfRule type="expression" dxfId="8" priority="4">
      <formula>AND($M15&lt;&gt;"",H19="")</formula>
    </cfRule>
  </conditionalFormatting>
  <conditionalFormatting sqref="H21">
    <cfRule type="expression" dxfId="7" priority="7">
      <formula>AND($M22&lt;&gt;"",H21="")</formula>
    </cfRule>
  </conditionalFormatting>
  <conditionalFormatting sqref="H26">
    <cfRule type="expression" dxfId="6" priority="3">
      <formula>AND($M27&lt;&gt;"",H26="")</formula>
    </cfRule>
  </conditionalFormatting>
  <dataValidations count="1">
    <dataValidation type="list" allowBlank="1" showInputMessage="1" showErrorMessage="1" sqref="H21:H26 H17:H18" xr:uid="{ACDAA649-340F-40AC-AFF2-0635E20C29A1}">
      <formula1>BALcellPtNum</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9"/>
  <sheetViews>
    <sheetView tabSelected="1" zoomScaleNormal="100" workbookViewId="0">
      <pane ySplit="2" topLeftCell="A3" activePane="bottomLeft" state="frozen"/>
      <selection pane="bottomLeft" activeCell="A18" sqref="A18:XFD18"/>
    </sheetView>
  </sheetViews>
  <sheetFormatPr defaultColWidth="9.140625" defaultRowHeight="14.25" x14ac:dyDescent="0.2"/>
  <cols>
    <col min="1" max="1" width="5.140625" style="46" customWidth="1"/>
    <col min="2" max="2" width="16.85546875" style="46" customWidth="1"/>
    <col min="3" max="3" width="13.140625" style="46" customWidth="1"/>
    <col min="4" max="4" width="10.140625" style="46" bestFit="1" customWidth="1"/>
    <col min="5" max="5" width="16.85546875" style="43" customWidth="1"/>
    <col min="6" max="6" width="13.42578125" style="43" customWidth="1"/>
    <col min="7" max="7" width="14.7109375" style="46" bestFit="1" customWidth="1"/>
    <col min="8" max="8" width="13.140625" style="46" bestFit="1" customWidth="1"/>
    <col min="9" max="9" width="13.7109375" style="46" bestFit="1" customWidth="1"/>
    <col min="10" max="10" width="11.140625" style="46" bestFit="1" customWidth="1"/>
    <col min="11" max="11" width="7.7109375" style="46" customWidth="1"/>
    <col min="12" max="12" width="8.42578125" style="46" customWidth="1"/>
    <col min="13" max="13" width="19.42578125" style="43" customWidth="1"/>
    <col min="14" max="14" width="46.140625" style="60" customWidth="1"/>
    <col min="15" max="15" width="9.140625" style="46"/>
    <col min="16" max="16384" width="9.140625" style="43"/>
  </cols>
  <sheetData>
    <row r="1" spans="1:15" s="42" customFormat="1" x14ac:dyDescent="0.2">
      <c r="A1" s="81" t="s">
        <v>70</v>
      </c>
      <c r="B1" s="83" t="s">
        <v>91</v>
      </c>
      <c r="C1" s="75" t="s">
        <v>26</v>
      </c>
      <c r="D1" s="76"/>
      <c r="E1" s="76"/>
      <c r="F1" s="77"/>
      <c r="G1" s="73" t="s">
        <v>27</v>
      </c>
      <c r="H1" s="78" t="s">
        <v>28</v>
      </c>
      <c r="I1" s="79"/>
      <c r="J1" s="80"/>
      <c r="K1" s="85" t="s">
        <v>41</v>
      </c>
      <c r="L1" s="85" t="s">
        <v>102</v>
      </c>
      <c r="M1" s="73" t="s">
        <v>69</v>
      </c>
      <c r="N1" s="71" t="s">
        <v>92</v>
      </c>
      <c r="O1" s="45"/>
    </row>
    <row r="2" spans="1:15" s="42" customFormat="1" x14ac:dyDescent="0.2">
      <c r="A2" s="82"/>
      <c r="B2" s="84"/>
      <c r="C2" s="53" t="s">
        <v>30</v>
      </c>
      <c r="D2" s="53" t="s">
        <v>42</v>
      </c>
      <c r="E2" s="54" t="s">
        <v>43</v>
      </c>
      <c r="F2" s="54" t="s">
        <v>31</v>
      </c>
      <c r="G2" s="74"/>
      <c r="H2" s="44" t="s">
        <v>72</v>
      </c>
      <c r="I2" s="44" t="s">
        <v>73</v>
      </c>
      <c r="J2" s="44" t="s">
        <v>74</v>
      </c>
      <c r="K2" s="86"/>
      <c r="L2" s="86"/>
      <c r="M2" s="74"/>
      <c r="N2" s="72"/>
      <c r="O2" s="45"/>
    </row>
    <row r="3" spans="1:15" s="42" customFormat="1" x14ac:dyDescent="0.2">
      <c r="A3" s="42">
        <v>1</v>
      </c>
      <c r="B3" s="45">
        <v>2</v>
      </c>
      <c r="C3" s="45" t="s">
        <v>78</v>
      </c>
      <c r="D3" s="45" t="s">
        <v>85</v>
      </c>
      <c r="E3" s="66" t="s">
        <v>105</v>
      </c>
      <c r="F3" s="42" t="s">
        <v>34</v>
      </c>
      <c r="G3" s="45" t="s">
        <v>82</v>
      </c>
      <c r="H3" s="45">
        <v>2023</v>
      </c>
      <c r="I3" s="45">
        <v>5</v>
      </c>
      <c r="J3" s="45">
        <v>16</v>
      </c>
      <c r="K3" s="45">
        <v>1</v>
      </c>
      <c r="L3" s="45">
        <v>1</v>
      </c>
      <c r="M3" s="42" t="str">
        <f>CONCATENATE(DEC2HEX(B3),VLOOKUP(CONCATENATE(C3,"_",D3,"_",E3,"_",F3),Format!L:M,2,FALSE),VLOOKUP(G3,Format!V:W,2,FALSE),CONCATENATE(BIN2HEX(LEFT(CONCATENATE(DEC2BIN(H3-2000,7),DEC2BIN(I3,4),DEC2BIN(J3,5)),4)),BIN2HEX(LEFT(RIGHT(CONCATENATE(DEC2BIN(H3-2000,7),DEC2BIN(I3,4),DEC2BIN(J3,5)),12),4)),BIN2HEX(LEFT(RIGHT(CONCATENATE(DEC2BIN(H3-2000,7),DEC2BIN(I3,4),DEC2BIN(J3,5)),8),4)),BIN2HEX(RIGHT(CONCATENATE(DEC2BIN(H3-2000,7),DEC2BIN(I3,4),DEC2BIN(J3,5)),4))),DEC2HEX(K3),DEC2HEX(L3,4))</f>
        <v>20242EB010001</v>
      </c>
      <c r="N3" s="58" t="s">
        <v>139</v>
      </c>
      <c r="O3" s="45"/>
    </row>
    <row r="4" spans="1:15" s="42" customFormat="1" x14ac:dyDescent="0.2">
      <c r="A4" s="50">
        <v>2</v>
      </c>
      <c r="B4" s="45">
        <v>3</v>
      </c>
      <c r="C4" s="45" t="s">
        <v>78</v>
      </c>
      <c r="D4" s="45" t="s">
        <v>85</v>
      </c>
      <c r="E4" s="66" t="s">
        <v>105</v>
      </c>
      <c r="F4" s="42" t="s">
        <v>34</v>
      </c>
      <c r="G4" s="45" t="s">
        <v>82</v>
      </c>
      <c r="H4" s="45">
        <v>2023</v>
      </c>
      <c r="I4" s="45">
        <v>5</v>
      </c>
      <c r="J4" s="45">
        <v>16</v>
      </c>
      <c r="K4" s="45">
        <v>1</v>
      </c>
      <c r="L4" s="45">
        <v>1</v>
      </c>
      <c r="M4" s="42" t="str">
        <f>CONCATENATE(DEC2HEX(B4),VLOOKUP(CONCATENATE(C4,"_",D4,"_",E4,"_",F4),Format!L:M,2,FALSE),VLOOKUP(G4,Format!V:W,2,FALSE),CONCATENATE(BIN2HEX(LEFT(CONCATENATE(DEC2BIN(H4-2000,7),DEC2BIN(I4,4),DEC2BIN(J4,5)),4)),BIN2HEX(LEFT(RIGHT(CONCATENATE(DEC2BIN(H4-2000,7),DEC2BIN(I4,4),DEC2BIN(J4,5)),12),4)),BIN2HEX(LEFT(RIGHT(CONCATENATE(DEC2BIN(H4-2000,7),DEC2BIN(I4,4),DEC2BIN(J4,5)),8),4)),BIN2HEX(RIGHT(CONCATENATE(DEC2BIN(H4-2000,7),DEC2BIN(I4,4),DEC2BIN(J4,5)),4))),DEC2HEX(K4),DEC2HEX(L4,4))</f>
        <v>30242EB010001</v>
      </c>
      <c r="N4" s="58" t="s">
        <v>93</v>
      </c>
      <c r="O4" s="45"/>
    </row>
    <row r="5" spans="1:15" s="42" customFormat="1" x14ac:dyDescent="0.2">
      <c r="A5" s="45">
        <v>3</v>
      </c>
      <c r="B5" s="51">
        <v>4</v>
      </c>
      <c r="C5" s="51" t="s">
        <v>78</v>
      </c>
      <c r="D5" s="51" t="s">
        <v>85</v>
      </c>
      <c r="E5" s="66" t="s">
        <v>105</v>
      </c>
      <c r="F5" s="52" t="s">
        <v>34</v>
      </c>
      <c r="G5" s="51" t="s">
        <v>82</v>
      </c>
      <c r="H5" s="51">
        <v>2023</v>
      </c>
      <c r="I5" s="51">
        <v>5</v>
      </c>
      <c r="J5" s="51">
        <v>16</v>
      </c>
      <c r="K5" s="51">
        <v>1</v>
      </c>
      <c r="L5" s="51">
        <v>1</v>
      </c>
      <c r="M5" s="52" t="str">
        <f>CONCATENATE(DEC2HEX(B5),VLOOKUP(CONCATENATE(C5,"_",D5,"_",E5,"_",F5),Format!L:M,2,FALSE),VLOOKUP(G5,Format!V:W,2,FALSE),CONCATENATE(BIN2HEX(LEFT(CONCATENATE(DEC2BIN(H5-2000,7),DEC2BIN(I5,4),DEC2BIN(J5,5)),4)),BIN2HEX(LEFT(RIGHT(CONCATENATE(DEC2BIN(H5-2000,7),DEC2BIN(I5,4),DEC2BIN(J5,5)),12),4)),BIN2HEX(LEFT(RIGHT(CONCATENATE(DEC2BIN(H5-2000,7),DEC2BIN(I5,4),DEC2BIN(J5,5)),8),4)),BIN2HEX(RIGHT(CONCATENATE(DEC2BIN(H5-2000,7),DEC2BIN(I5,4),DEC2BIN(J5,5)),4))),DEC2HEX(K5),DEC2HEX(L5,4))</f>
        <v>40242EB010001</v>
      </c>
      <c r="N5" s="59" t="s">
        <v>103</v>
      </c>
      <c r="O5" s="45"/>
    </row>
    <row r="6" spans="1:15" s="42" customFormat="1" x14ac:dyDescent="0.2">
      <c r="A6" s="42">
        <v>4</v>
      </c>
      <c r="B6" s="45">
        <v>5</v>
      </c>
      <c r="C6" s="45" t="s">
        <v>78</v>
      </c>
      <c r="D6" s="45" t="s">
        <v>84</v>
      </c>
      <c r="E6" s="66" t="s">
        <v>106</v>
      </c>
      <c r="F6" s="42" t="s">
        <v>33</v>
      </c>
      <c r="G6" s="45" t="s">
        <v>82</v>
      </c>
      <c r="H6" s="45">
        <v>2023</v>
      </c>
      <c r="I6" s="45">
        <v>5</v>
      </c>
      <c r="J6" s="45">
        <v>16</v>
      </c>
      <c r="K6" s="45">
        <v>1</v>
      </c>
      <c r="L6" s="45">
        <v>1</v>
      </c>
      <c r="M6" s="42" t="str">
        <f>CONCATENATE(DEC2HEX(B6),VLOOKUP(CONCATENATE(C6,"_",D6,"_",E6,"_",F6),Format!L:M,2,FALSE),VLOOKUP(G6,Format!V:W,2,FALSE),CONCATENATE(BIN2HEX(LEFT(CONCATENATE(DEC2BIN(H6-2000,7),DEC2BIN(I6,4),DEC2BIN(J6,5)),4)),BIN2HEX(LEFT(RIGHT(CONCATENATE(DEC2BIN(H6-2000,7),DEC2BIN(I6,4),DEC2BIN(J6,5)),12),4)),BIN2HEX(LEFT(RIGHT(CONCATENATE(DEC2BIN(H6-2000,7),DEC2BIN(I6,4),DEC2BIN(J6,5)),8),4)),BIN2HEX(RIGHT(CONCATENATE(DEC2BIN(H6-2000,7),DEC2BIN(I6,4),DEC2BIN(J6,5)),4))),DEC2HEX(K6),DEC2HEX(L6,4))</f>
        <v>50342EB010001</v>
      </c>
      <c r="N6" s="58" t="s">
        <v>98</v>
      </c>
      <c r="O6" s="45"/>
    </row>
    <row r="7" spans="1:15" s="42" customFormat="1" ht="15" x14ac:dyDescent="0.25">
      <c r="A7" s="50">
        <v>5</v>
      </c>
      <c r="B7" s="55">
        <v>13</v>
      </c>
      <c r="C7" s="45" t="s">
        <v>78</v>
      </c>
      <c r="D7" s="45" t="s">
        <v>85</v>
      </c>
      <c r="E7" s="66" t="s">
        <v>162</v>
      </c>
      <c r="F7" s="42" t="s">
        <v>34</v>
      </c>
      <c r="G7" s="45" t="s">
        <v>82</v>
      </c>
      <c r="H7" s="45">
        <v>2026</v>
      </c>
      <c r="I7" s="45">
        <v>3</v>
      </c>
      <c r="J7" s="45">
        <v>30</v>
      </c>
      <c r="K7" s="45">
        <v>1</v>
      </c>
      <c r="L7" s="45">
        <v>1</v>
      </c>
      <c r="M7" s="42" t="str">
        <f>CONCATENATE(DEC2HEX(B7),VLOOKUP(CONCATENATE(C7,"_",D7,"_",E7,"_",F7),Format!L:M,2,FALSE),VLOOKUP(G7,Format!V:W,2,FALSE),CONCATENATE(BIN2HEX(LEFT(CONCATENATE(DEC2BIN(H7-2000,7),DEC2BIN(I7,4),DEC2BIN(J7,5)),4)),BIN2HEX(LEFT(RIGHT(CONCATENATE(DEC2BIN(H7-2000,7),DEC2BIN(I7,4),DEC2BIN(J7,5)),12),4)),BIN2HEX(LEFT(RIGHT(CONCATENATE(DEC2BIN(H7-2000,7),DEC2BIN(I7,4),DEC2BIN(J7,5)),8),4)),BIN2HEX(RIGHT(CONCATENATE(DEC2BIN(H7-2000,7),DEC2BIN(I7,4),DEC2BIN(J7,5)),4))),DEC2HEX(K7),DEC2HEX(L7,4))</f>
        <v>D0E4347E10001</v>
      </c>
      <c r="N7" s="58" t="s">
        <v>128</v>
      </c>
      <c r="O7" s="45"/>
    </row>
    <row r="8" spans="1:15" s="42" customFormat="1" ht="15" x14ac:dyDescent="0.25">
      <c r="A8" s="45">
        <v>6</v>
      </c>
      <c r="B8" s="55">
        <v>14</v>
      </c>
      <c r="C8" s="45" t="s">
        <v>78</v>
      </c>
      <c r="D8" s="45" t="s">
        <v>85</v>
      </c>
      <c r="E8" s="66" t="s">
        <v>162</v>
      </c>
      <c r="F8" s="42" t="s">
        <v>34</v>
      </c>
      <c r="G8" s="45" t="s">
        <v>82</v>
      </c>
      <c r="H8" s="45">
        <v>2026</v>
      </c>
      <c r="I8" s="45">
        <v>3</v>
      </c>
      <c r="J8" s="45">
        <v>30</v>
      </c>
      <c r="K8" s="45">
        <v>1</v>
      </c>
      <c r="L8" s="45">
        <v>1</v>
      </c>
      <c r="M8" s="42" t="str">
        <f>CONCATENATE(DEC2HEX(B8),VLOOKUP(CONCATENATE(C8,"_",D8,"_",E8,"_",F8),Format!L:M,2,FALSE),VLOOKUP(G8,Format!V:W,2,FALSE),CONCATENATE(BIN2HEX(LEFT(CONCATENATE(DEC2BIN(H8-2000,7),DEC2BIN(I8,4),DEC2BIN(J8,5)),4)),BIN2HEX(LEFT(RIGHT(CONCATENATE(DEC2BIN(H8-2000,7),DEC2BIN(I8,4),DEC2BIN(J8,5)),12),4)),BIN2HEX(LEFT(RIGHT(CONCATENATE(DEC2BIN(H8-2000,7),DEC2BIN(I8,4),DEC2BIN(J8,5)),8),4)),BIN2HEX(RIGHT(CONCATENATE(DEC2BIN(H8-2000,7),DEC2BIN(I8,4),DEC2BIN(J8,5)),4))),DEC2HEX(K8),DEC2HEX(L8,4))</f>
        <v>E0E4347E10001</v>
      </c>
      <c r="N8" s="56" t="s">
        <v>129</v>
      </c>
      <c r="O8" s="45"/>
    </row>
    <row r="9" spans="1:15" s="42" customFormat="1" ht="15" x14ac:dyDescent="0.25">
      <c r="A9" s="42">
        <v>7</v>
      </c>
      <c r="B9" s="55">
        <v>15</v>
      </c>
      <c r="C9" s="45" t="s">
        <v>78</v>
      </c>
      <c r="D9" s="45" t="s">
        <v>85</v>
      </c>
      <c r="E9" s="66" t="s">
        <v>162</v>
      </c>
      <c r="F9" s="42" t="s">
        <v>34</v>
      </c>
      <c r="G9" s="45" t="s">
        <v>82</v>
      </c>
      <c r="H9" s="45">
        <v>2026</v>
      </c>
      <c r="I9" s="45">
        <v>3</v>
      </c>
      <c r="J9" s="45">
        <v>30</v>
      </c>
      <c r="K9" s="45">
        <v>1</v>
      </c>
      <c r="L9" s="45">
        <v>1</v>
      </c>
      <c r="M9" s="42" t="str">
        <f>CONCATENATE(DEC2HEX(B9),VLOOKUP(CONCATENATE(C9,"_",D9,"_",E9,"_",F9),Format!L:M,2,FALSE),VLOOKUP(G9,Format!V:W,2,FALSE),CONCATENATE(BIN2HEX(LEFT(CONCATENATE(DEC2BIN(H9-2000,7),DEC2BIN(I9,4),DEC2BIN(J9,5)),4)),BIN2HEX(LEFT(RIGHT(CONCATENATE(DEC2BIN(H9-2000,7),DEC2BIN(I9,4),DEC2BIN(J9,5)),12),4)),BIN2HEX(LEFT(RIGHT(CONCATENATE(DEC2BIN(H9-2000,7),DEC2BIN(I9,4),DEC2BIN(J9,5)),8),4)),BIN2HEX(RIGHT(CONCATENATE(DEC2BIN(H9-2000,7),DEC2BIN(I9,4),DEC2BIN(J9,5)),4))),DEC2HEX(K9),DEC2HEX(L9,4))</f>
        <v>F0E4347E10001</v>
      </c>
      <c r="N9" s="56" t="s">
        <v>130</v>
      </c>
      <c r="O9" s="45"/>
    </row>
    <row r="10" spans="1:15" s="42" customFormat="1" ht="15" x14ac:dyDescent="0.25">
      <c r="A10" s="50">
        <v>8</v>
      </c>
      <c r="B10" s="55">
        <v>16</v>
      </c>
      <c r="C10" s="45" t="s">
        <v>78</v>
      </c>
      <c r="D10" s="45" t="s">
        <v>85</v>
      </c>
      <c r="E10" s="66" t="s">
        <v>162</v>
      </c>
      <c r="F10" s="42" t="s">
        <v>34</v>
      </c>
      <c r="G10" s="45" t="s">
        <v>82</v>
      </c>
      <c r="H10" s="45">
        <v>2026</v>
      </c>
      <c r="I10" s="45">
        <v>3</v>
      </c>
      <c r="J10" s="45">
        <v>30</v>
      </c>
      <c r="K10" s="45">
        <v>1</v>
      </c>
      <c r="L10" s="45">
        <v>1</v>
      </c>
      <c r="M10" s="42" t="str">
        <f>CONCATENATE(DEC2HEX(B10),VLOOKUP(CONCATENATE(C10,"_",D10,"_",E10,"_",F10),Format!L:M,2,FALSE),VLOOKUP(G10,Format!V:W,2,FALSE),CONCATENATE(BIN2HEX(LEFT(CONCATENATE(DEC2BIN(H10-2000,7),DEC2BIN(I10,4),DEC2BIN(J10,5)),4)),BIN2HEX(LEFT(RIGHT(CONCATENATE(DEC2BIN(H10-2000,7),DEC2BIN(I10,4),DEC2BIN(J10,5)),12),4)),BIN2HEX(LEFT(RIGHT(CONCATENATE(DEC2BIN(H10-2000,7),DEC2BIN(I10,4),DEC2BIN(J10,5)),8),4)),BIN2HEX(RIGHT(CONCATENATE(DEC2BIN(H10-2000,7),DEC2BIN(I10,4),DEC2BIN(J10,5)),4))),DEC2HEX(K10),DEC2HEX(L10,4))</f>
        <v>100E4347E10001</v>
      </c>
      <c r="N10" s="56" t="s">
        <v>131</v>
      </c>
      <c r="O10" s="45"/>
    </row>
    <row r="11" spans="1:15" s="42" customFormat="1" ht="15" x14ac:dyDescent="0.25">
      <c r="A11" s="45">
        <v>9</v>
      </c>
      <c r="B11" s="55">
        <v>17</v>
      </c>
      <c r="C11" s="45" t="s">
        <v>78</v>
      </c>
      <c r="D11" s="45" t="s">
        <v>85</v>
      </c>
      <c r="E11" s="66" t="s">
        <v>162</v>
      </c>
      <c r="F11" s="42" t="s">
        <v>34</v>
      </c>
      <c r="G11" s="45" t="s">
        <v>82</v>
      </c>
      <c r="H11" s="45">
        <v>2026</v>
      </c>
      <c r="I11" s="45">
        <v>3</v>
      </c>
      <c r="J11" s="45">
        <v>30</v>
      </c>
      <c r="K11" s="45">
        <v>1</v>
      </c>
      <c r="L11" s="45">
        <v>1</v>
      </c>
      <c r="M11" s="42" t="str">
        <f>CONCATENATE(DEC2HEX(B11),VLOOKUP(CONCATENATE(C11,"_",D11,"_",E11,"_",F11),Format!L:M,2,FALSE),VLOOKUP(G11,Format!V:W,2,FALSE),CONCATENATE(BIN2HEX(LEFT(CONCATENATE(DEC2BIN(H11-2000,7),DEC2BIN(I11,4),DEC2BIN(J11,5)),4)),BIN2HEX(LEFT(RIGHT(CONCATENATE(DEC2BIN(H11-2000,7),DEC2BIN(I11,4),DEC2BIN(J11,5)),12),4)),BIN2HEX(LEFT(RIGHT(CONCATENATE(DEC2BIN(H11-2000,7),DEC2BIN(I11,4),DEC2BIN(J11,5)),8),4)),BIN2HEX(RIGHT(CONCATENATE(DEC2BIN(H11-2000,7),DEC2BIN(I11,4),DEC2BIN(J11,5)),4))),DEC2HEX(K11),DEC2HEX(L11,4))</f>
        <v>110E4347E10001</v>
      </c>
      <c r="N11" s="56" t="s">
        <v>132</v>
      </c>
      <c r="O11" s="45"/>
    </row>
    <row r="12" spans="1:15" s="42" customFormat="1" ht="15" x14ac:dyDescent="0.25">
      <c r="A12" s="42">
        <v>10</v>
      </c>
      <c r="B12" s="55">
        <v>18</v>
      </c>
      <c r="C12" s="45" t="s">
        <v>78</v>
      </c>
      <c r="D12" s="45" t="s">
        <v>85</v>
      </c>
      <c r="E12" s="66" t="s">
        <v>163</v>
      </c>
      <c r="F12" s="42" t="s">
        <v>34</v>
      </c>
      <c r="G12" s="45" t="s">
        <v>82</v>
      </c>
      <c r="H12" s="45">
        <v>2026</v>
      </c>
      <c r="I12" s="45">
        <v>3</v>
      </c>
      <c r="J12" s="45">
        <v>30</v>
      </c>
      <c r="K12" s="45">
        <v>1</v>
      </c>
      <c r="L12" s="45">
        <v>1</v>
      </c>
      <c r="M12" s="42" t="str">
        <f>CONCATENATE(DEC2HEX(B12),VLOOKUP(CONCATENATE(C12,"_",D12,"_",E12,"_",F12),Format!L:M,2,FALSE),VLOOKUP(G12,Format!V:W,2,FALSE),CONCATENATE(BIN2HEX(LEFT(CONCATENATE(DEC2BIN(H12-2000,7),DEC2BIN(I12,4),DEC2BIN(J12,5)),4)),BIN2HEX(LEFT(RIGHT(CONCATENATE(DEC2BIN(H12-2000,7),DEC2BIN(I12,4),DEC2BIN(J12,5)),12),4)),BIN2HEX(LEFT(RIGHT(CONCATENATE(DEC2BIN(H12-2000,7),DEC2BIN(I12,4),DEC2BIN(J12,5)),8),4)),BIN2HEX(RIGHT(CONCATENATE(DEC2BIN(H12-2000,7),DEC2BIN(I12,4),DEC2BIN(J12,5)),4))),DEC2HEX(K12),DEC2HEX(L12,4))</f>
        <v>120F4347E10001</v>
      </c>
      <c r="N12" s="56" t="s">
        <v>133</v>
      </c>
      <c r="O12" s="45"/>
    </row>
    <row r="13" spans="1:15" s="42" customFormat="1" ht="15" x14ac:dyDescent="0.25">
      <c r="A13" s="50">
        <v>11</v>
      </c>
      <c r="B13" s="55">
        <v>19</v>
      </c>
      <c r="C13" s="45" t="s">
        <v>78</v>
      </c>
      <c r="D13" s="45" t="s">
        <v>85</v>
      </c>
      <c r="E13" s="66" t="s">
        <v>163</v>
      </c>
      <c r="F13" s="42" t="s">
        <v>34</v>
      </c>
      <c r="G13" s="45" t="s">
        <v>82</v>
      </c>
      <c r="H13" s="45">
        <v>2026</v>
      </c>
      <c r="I13" s="45">
        <v>3</v>
      </c>
      <c r="J13" s="45">
        <v>30</v>
      </c>
      <c r="K13" s="45">
        <v>1</v>
      </c>
      <c r="L13" s="45">
        <v>1</v>
      </c>
      <c r="M13" s="42" t="str">
        <f>CONCATENATE(DEC2HEX(B13),VLOOKUP(CONCATENATE(C13,"_",D13,"_",E13,"_",F13),Format!L:M,2,FALSE),VLOOKUP(G13,Format!V:W,2,FALSE),CONCATENATE(BIN2HEX(LEFT(CONCATENATE(DEC2BIN(H13-2000,7),DEC2BIN(I13,4),DEC2BIN(J13,5)),4)),BIN2HEX(LEFT(RIGHT(CONCATENATE(DEC2BIN(H13-2000,7),DEC2BIN(I13,4),DEC2BIN(J13,5)),12),4)),BIN2HEX(LEFT(RIGHT(CONCATENATE(DEC2BIN(H13-2000,7),DEC2BIN(I13,4),DEC2BIN(J13,5)),8),4)),BIN2HEX(RIGHT(CONCATENATE(DEC2BIN(H13-2000,7),DEC2BIN(I13,4),DEC2BIN(J13,5)),4))),DEC2HEX(K13),DEC2HEX(L13,4))</f>
        <v>130F4347E10001</v>
      </c>
      <c r="N13" s="56" t="s">
        <v>134</v>
      </c>
      <c r="O13" s="45"/>
    </row>
    <row r="14" spans="1:15" s="42" customFormat="1" ht="15" x14ac:dyDescent="0.25">
      <c r="A14" s="45">
        <v>12</v>
      </c>
      <c r="B14" s="55">
        <v>20</v>
      </c>
      <c r="C14" s="45" t="s">
        <v>78</v>
      </c>
      <c r="D14" s="45" t="s">
        <v>85</v>
      </c>
      <c r="E14" s="66" t="s">
        <v>163</v>
      </c>
      <c r="F14" s="42" t="s">
        <v>34</v>
      </c>
      <c r="G14" s="45" t="s">
        <v>82</v>
      </c>
      <c r="H14" s="45">
        <v>2026</v>
      </c>
      <c r="I14" s="45">
        <v>3</v>
      </c>
      <c r="J14" s="45">
        <v>30</v>
      </c>
      <c r="K14" s="45">
        <v>1</v>
      </c>
      <c r="L14" s="45">
        <v>1</v>
      </c>
      <c r="M14" s="42" t="str">
        <f>CONCATENATE(DEC2HEX(B14),VLOOKUP(CONCATENATE(C14,"_",D14,"_",E14,"_",F14),Format!L:M,2,FALSE),VLOOKUP(G14,Format!V:W,2,FALSE),CONCATENATE(BIN2HEX(LEFT(CONCATENATE(DEC2BIN(H14-2000,7),DEC2BIN(I14,4),DEC2BIN(J14,5)),4)),BIN2HEX(LEFT(RIGHT(CONCATENATE(DEC2BIN(H14-2000,7),DEC2BIN(I14,4),DEC2BIN(J14,5)),12),4)),BIN2HEX(LEFT(RIGHT(CONCATENATE(DEC2BIN(H14-2000,7),DEC2BIN(I14,4),DEC2BIN(J14,5)),8),4)),BIN2HEX(RIGHT(CONCATENATE(DEC2BIN(H14-2000,7),DEC2BIN(I14,4),DEC2BIN(J14,5)),4))),DEC2HEX(K14),DEC2HEX(L14,4))</f>
        <v>140F4347E10001</v>
      </c>
      <c r="N14" s="56" t="s">
        <v>135</v>
      </c>
      <c r="O14" s="45"/>
    </row>
    <row r="15" spans="1:15" s="42" customFormat="1" ht="15" x14ac:dyDescent="0.25">
      <c r="A15" s="42">
        <v>13</v>
      </c>
      <c r="B15" s="55">
        <v>21</v>
      </c>
      <c r="C15" s="45" t="s">
        <v>78</v>
      </c>
      <c r="D15" s="45" t="s">
        <v>85</v>
      </c>
      <c r="E15" s="66" t="s">
        <v>163</v>
      </c>
      <c r="F15" s="42" t="s">
        <v>34</v>
      </c>
      <c r="G15" s="45" t="s">
        <v>82</v>
      </c>
      <c r="H15" s="45">
        <v>2026</v>
      </c>
      <c r="I15" s="45">
        <v>3</v>
      </c>
      <c r="J15" s="45">
        <v>30</v>
      </c>
      <c r="K15" s="45">
        <v>1</v>
      </c>
      <c r="L15" s="45">
        <v>1</v>
      </c>
      <c r="M15" s="42" t="str">
        <f>CONCATENATE(DEC2HEX(B15),VLOOKUP(CONCATENATE(C15,"_",D15,"_",E15,"_",F15),Format!L:M,2,FALSE),VLOOKUP(G15,Format!V:W,2,FALSE),CONCATENATE(BIN2HEX(LEFT(CONCATENATE(DEC2BIN(H15-2000,7),DEC2BIN(I15,4),DEC2BIN(J15,5)),4)),BIN2HEX(LEFT(RIGHT(CONCATENATE(DEC2BIN(H15-2000,7),DEC2BIN(I15,4),DEC2BIN(J15,5)),12),4)),BIN2HEX(LEFT(RIGHT(CONCATENATE(DEC2BIN(H15-2000,7),DEC2BIN(I15,4),DEC2BIN(J15,5)),8),4)),BIN2HEX(RIGHT(CONCATENATE(DEC2BIN(H15-2000,7),DEC2BIN(I15,4),DEC2BIN(J15,5)),4))),DEC2HEX(K15),DEC2HEX(L15,4))</f>
        <v>150F4347E10001</v>
      </c>
      <c r="N15" s="56" t="s">
        <v>136</v>
      </c>
      <c r="O15" s="45"/>
    </row>
    <row r="16" spans="1:15" s="42" customFormat="1" ht="15" x14ac:dyDescent="0.25">
      <c r="A16" s="50">
        <v>14</v>
      </c>
      <c r="B16" s="55">
        <v>22</v>
      </c>
      <c r="C16" s="45" t="s">
        <v>78</v>
      </c>
      <c r="D16" s="45" t="s">
        <v>85</v>
      </c>
      <c r="E16" s="66" t="s">
        <v>162</v>
      </c>
      <c r="F16" s="42" t="s">
        <v>34</v>
      </c>
      <c r="G16" s="45" t="s">
        <v>82</v>
      </c>
      <c r="H16" s="45">
        <v>2026</v>
      </c>
      <c r="I16" s="45">
        <v>3</v>
      </c>
      <c r="J16" s="45">
        <v>30</v>
      </c>
      <c r="K16" s="45">
        <v>1</v>
      </c>
      <c r="L16" s="45">
        <v>1</v>
      </c>
      <c r="M16" s="42" t="str">
        <f>CONCATENATE(DEC2HEX(B16),VLOOKUP(CONCATENATE(C16,"_",D16,"_",E16,"_",F16),Format!L:M,2,FALSE),VLOOKUP(G16,Format!V:W,2,FALSE),CONCATENATE(BIN2HEX(LEFT(CONCATENATE(DEC2BIN(H16-2000,7),DEC2BIN(I16,4),DEC2BIN(J16,5)),4)),BIN2HEX(LEFT(RIGHT(CONCATENATE(DEC2BIN(H16-2000,7),DEC2BIN(I16,4),DEC2BIN(J16,5)),12),4)),BIN2HEX(LEFT(RIGHT(CONCATENATE(DEC2BIN(H16-2000,7),DEC2BIN(I16,4),DEC2BIN(J16,5)),8),4)),BIN2HEX(RIGHT(CONCATENATE(DEC2BIN(H16-2000,7),DEC2BIN(I16,4),DEC2BIN(J16,5)),4))),DEC2HEX(K16),DEC2HEX(L16,4))</f>
        <v>160E4347E10001</v>
      </c>
      <c r="N16" s="56" t="s">
        <v>165</v>
      </c>
      <c r="O16" s="45"/>
    </row>
    <row r="17" spans="1:15" s="42" customFormat="1" ht="15" x14ac:dyDescent="0.25">
      <c r="A17" s="50">
        <v>15</v>
      </c>
      <c r="B17" s="55">
        <v>23</v>
      </c>
      <c r="C17" s="45" t="s">
        <v>78</v>
      </c>
      <c r="D17" s="45" t="s">
        <v>85</v>
      </c>
      <c r="E17" s="66" t="s">
        <v>163</v>
      </c>
      <c r="F17" s="42" t="s">
        <v>34</v>
      </c>
      <c r="G17" s="45" t="s">
        <v>82</v>
      </c>
      <c r="H17" s="45">
        <v>2026</v>
      </c>
      <c r="I17" s="45">
        <v>3</v>
      </c>
      <c r="J17" s="45">
        <v>30</v>
      </c>
      <c r="K17" s="45">
        <v>1</v>
      </c>
      <c r="L17" s="45">
        <v>1</v>
      </c>
      <c r="M17" s="42" t="str">
        <f>CONCATENATE(DEC2HEX(B17),VLOOKUP(CONCATENATE(C17,"_",D17,"_",E17,"_",F17),Format!L:M,2,FALSE),VLOOKUP(G17,Format!V:W,2,FALSE),CONCATENATE(BIN2HEX(LEFT(CONCATENATE(DEC2BIN(H17-2000,7),DEC2BIN(I17,4),DEC2BIN(J17,5)),4)),BIN2HEX(LEFT(RIGHT(CONCATENATE(DEC2BIN(H17-2000,7),DEC2BIN(I17,4),DEC2BIN(J17,5)),12),4)),BIN2HEX(LEFT(RIGHT(CONCATENATE(DEC2BIN(H17-2000,7),DEC2BIN(I17,4),DEC2BIN(J17,5)),8),4)),BIN2HEX(RIGHT(CONCATENATE(DEC2BIN(H17-2000,7),DEC2BIN(I17,4),DEC2BIN(J17,5)),4))),DEC2HEX(K17),DEC2HEX(L17,4))</f>
        <v>170F4347E10001</v>
      </c>
      <c r="N17" s="56" t="s">
        <v>166</v>
      </c>
      <c r="O17" s="45"/>
    </row>
    <row r="18" spans="1:15" s="42" customFormat="1" ht="15" x14ac:dyDescent="0.25">
      <c r="A18" s="45">
        <v>6</v>
      </c>
      <c r="B18" s="55">
        <v>14</v>
      </c>
      <c r="C18" s="45" t="s">
        <v>78</v>
      </c>
      <c r="D18" s="45" t="s">
        <v>126</v>
      </c>
      <c r="E18" s="66" t="s">
        <v>162</v>
      </c>
      <c r="F18" s="42" t="s">
        <v>34</v>
      </c>
      <c r="G18" s="45" t="s">
        <v>82</v>
      </c>
      <c r="H18" s="45">
        <v>2026</v>
      </c>
      <c r="I18" s="45">
        <v>3</v>
      </c>
      <c r="J18" s="45">
        <v>30</v>
      </c>
      <c r="K18" s="45">
        <v>1</v>
      </c>
      <c r="L18" s="45">
        <v>1</v>
      </c>
      <c r="M18" s="42" t="str">
        <f>CONCATENATE(DEC2HEX(B18),VLOOKUP(CONCATENATE(C18,"_",D18,"_",E18,"_",F18),Format!L:M,2,FALSE),VLOOKUP(G18,Format!V:W,2,FALSE),CONCATENATE(BIN2HEX(LEFT(CONCATENATE(DEC2BIN(H18-2000,7),DEC2BIN(I18,4),DEC2BIN(J18,5)),4)),BIN2HEX(LEFT(RIGHT(CONCATENATE(DEC2BIN(H18-2000,7),DEC2BIN(I18,4),DEC2BIN(J18,5)),12),4)),BIN2HEX(LEFT(RIGHT(CONCATENATE(DEC2BIN(H18-2000,7),DEC2BIN(I18,4),DEC2BIN(J18,5)),8),4)),BIN2HEX(RIGHT(CONCATENATE(DEC2BIN(H18-2000,7),DEC2BIN(I18,4),DEC2BIN(J18,5)),4))),DEC2HEX(K18),DEC2HEX(L18,4))</f>
        <v>E104347E10001</v>
      </c>
      <c r="N18" s="56" t="s">
        <v>129</v>
      </c>
      <c r="O18" s="45"/>
    </row>
    <row r="19" spans="1:15" s="42" customFormat="1" x14ac:dyDescent="0.2">
      <c r="A19" s="45"/>
      <c r="B19" s="45"/>
      <c r="C19" s="45"/>
      <c r="D19" s="45"/>
      <c r="E19" s="66"/>
      <c r="G19" s="45"/>
      <c r="H19" s="45"/>
      <c r="I19" s="45"/>
      <c r="J19" s="45"/>
      <c r="K19" s="45"/>
      <c r="L19" s="45"/>
      <c r="N19" s="58"/>
      <c r="O19" s="45"/>
    </row>
    <row r="20" spans="1:15" s="42" customFormat="1" x14ac:dyDescent="0.2">
      <c r="A20" s="45"/>
      <c r="B20" s="45"/>
      <c r="C20" s="45"/>
      <c r="D20" s="45"/>
      <c r="E20" s="66"/>
      <c r="G20" s="45"/>
      <c r="H20" s="45"/>
      <c r="I20" s="45"/>
      <c r="J20" s="45"/>
      <c r="K20" s="45"/>
      <c r="L20" s="45"/>
      <c r="N20" s="58"/>
      <c r="O20" s="45"/>
    </row>
    <row r="21" spans="1:15" s="42" customFormat="1" x14ac:dyDescent="0.2">
      <c r="A21" s="45"/>
      <c r="B21" s="45"/>
      <c r="C21" s="45"/>
      <c r="D21" s="45"/>
      <c r="E21" s="66"/>
      <c r="G21" s="45"/>
      <c r="H21" s="45"/>
      <c r="I21" s="45"/>
      <c r="J21" s="45"/>
      <c r="K21" s="45"/>
      <c r="L21" s="45"/>
      <c r="N21" s="58"/>
      <c r="O21" s="45"/>
    </row>
    <row r="22" spans="1:15" s="42" customFormat="1" x14ac:dyDescent="0.2">
      <c r="A22" s="45"/>
      <c r="B22" s="45"/>
      <c r="C22" s="45"/>
      <c r="D22" s="45"/>
      <c r="E22" s="66"/>
      <c r="G22" s="45"/>
      <c r="H22" s="45"/>
      <c r="I22" s="45"/>
      <c r="J22" s="45"/>
      <c r="K22" s="45"/>
      <c r="L22" s="45"/>
      <c r="N22" s="58"/>
      <c r="O22" s="45"/>
    </row>
    <row r="23" spans="1:15" s="42" customFormat="1" x14ac:dyDescent="0.2">
      <c r="A23" s="45"/>
      <c r="B23" s="45"/>
      <c r="C23" s="45"/>
      <c r="D23" s="45"/>
      <c r="E23" s="66"/>
      <c r="G23" s="45"/>
      <c r="H23" s="45"/>
      <c r="I23" s="45"/>
      <c r="J23" s="45"/>
      <c r="K23" s="45"/>
      <c r="L23" s="45"/>
      <c r="N23" s="58"/>
      <c r="O23" s="45"/>
    </row>
    <row r="24" spans="1:15" s="42" customFormat="1" x14ac:dyDescent="0.2">
      <c r="A24" s="45"/>
      <c r="B24" s="45"/>
      <c r="C24" s="45"/>
      <c r="D24" s="45"/>
      <c r="E24" s="66"/>
      <c r="G24" s="45"/>
      <c r="H24" s="45"/>
      <c r="I24" s="45"/>
      <c r="J24" s="45"/>
      <c r="K24" s="45"/>
      <c r="L24" s="45"/>
      <c r="N24" s="58"/>
      <c r="O24" s="45"/>
    </row>
    <row r="25" spans="1:15" s="42" customFormat="1" x14ac:dyDescent="0.2">
      <c r="A25" s="45"/>
      <c r="B25" s="45"/>
      <c r="C25" s="45"/>
      <c r="D25" s="45"/>
      <c r="E25" s="66"/>
      <c r="G25" s="45"/>
      <c r="H25" s="45"/>
      <c r="I25" s="45"/>
      <c r="J25" s="45"/>
      <c r="K25" s="45"/>
      <c r="L25" s="45"/>
      <c r="N25" s="58"/>
      <c r="O25" s="45"/>
    </row>
    <row r="26" spans="1:15" s="42" customFormat="1" x14ac:dyDescent="0.2">
      <c r="A26" s="45"/>
      <c r="B26" s="45"/>
      <c r="C26" s="45"/>
      <c r="D26" s="45"/>
      <c r="E26" s="66"/>
      <c r="G26" s="45"/>
      <c r="H26" s="45"/>
      <c r="I26" s="45"/>
      <c r="J26" s="45"/>
      <c r="K26" s="45"/>
      <c r="L26" s="45"/>
      <c r="N26" s="58"/>
      <c r="O26" s="45"/>
    </row>
    <row r="27" spans="1:15" s="42" customFormat="1" x14ac:dyDescent="0.2">
      <c r="A27" s="45"/>
      <c r="B27" s="45"/>
      <c r="C27" s="45"/>
      <c r="D27" s="45"/>
      <c r="E27" s="66"/>
      <c r="G27" s="45"/>
      <c r="H27" s="45"/>
      <c r="I27" s="45"/>
      <c r="J27" s="45"/>
      <c r="K27" s="45"/>
      <c r="L27" s="45"/>
      <c r="N27" s="58"/>
      <c r="O27" s="45"/>
    </row>
    <row r="28" spans="1:15" s="42" customFormat="1" x14ac:dyDescent="0.2">
      <c r="A28" s="45"/>
      <c r="B28" s="45"/>
      <c r="C28" s="45"/>
      <c r="D28" s="45"/>
      <c r="E28" s="66"/>
      <c r="G28" s="45"/>
      <c r="H28" s="45"/>
      <c r="I28" s="45"/>
      <c r="J28" s="45"/>
      <c r="K28" s="45"/>
      <c r="L28" s="45"/>
      <c r="N28" s="58"/>
      <c r="O28" s="45"/>
    </row>
    <row r="29" spans="1:15" s="42" customFormat="1" x14ac:dyDescent="0.2">
      <c r="A29" s="45"/>
      <c r="B29" s="45"/>
      <c r="C29" s="45"/>
      <c r="D29" s="45"/>
      <c r="E29" s="66"/>
      <c r="G29" s="45"/>
      <c r="H29" s="45"/>
      <c r="I29" s="45"/>
      <c r="J29" s="45"/>
      <c r="K29" s="45"/>
      <c r="L29" s="45"/>
      <c r="N29" s="58"/>
      <c r="O29" s="45"/>
    </row>
    <row r="30" spans="1:15" s="42" customFormat="1" x14ac:dyDescent="0.2">
      <c r="A30" s="45"/>
      <c r="B30" s="45"/>
      <c r="C30" s="45"/>
      <c r="D30" s="45"/>
      <c r="E30" s="66"/>
      <c r="G30" s="45"/>
      <c r="H30" s="45"/>
      <c r="I30" s="45"/>
      <c r="J30" s="45"/>
      <c r="K30" s="45"/>
      <c r="L30" s="45"/>
      <c r="N30" s="58"/>
      <c r="O30" s="45"/>
    </row>
    <row r="31" spans="1:15" s="42" customFormat="1" x14ac:dyDescent="0.2">
      <c r="A31" s="45"/>
      <c r="B31" s="45"/>
      <c r="C31" s="45"/>
      <c r="D31" s="45"/>
      <c r="E31" s="66"/>
      <c r="G31" s="45"/>
      <c r="H31" s="45"/>
      <c r="I31" s="45"/>
      <c r="J31" s="45"/>
      <c r="K31" s="45"/>
      <c r="L31" s="45"/>
      <c r="N31" s="58"/>
      <c r="O31" s="45"/>
    </row>
    <row r="32" spans="1:15" s="42" customFormat="1" x14ac:dyDescent="0.2">
      <c r="A32" s="45"/>
      <c r="B32" s="45"/>
      <c r="C32" s="45"/>
      <c r="D32" s="45"/>
      <c r="E32" s="66"/>
      <c r="G32" s="45"/>
      <c r="H32" s="45"/>
      <c r="I32" s="45"/>
      <c r="J32" s="45"/>
      <c r="K32" s="45"/>
      <c r="L32" s="45"/>
      <c r="N32" s="58"/>
      <c r="O32" s="45"/>
    </row>
    <row r="33" spans="1:15" s="42" customFormat="1" x14ac:dyDescent="0.2">
      <c r="A33" s="45"/>
      <c r="B33" s="45"/>
      <c r="C33" s="45"/>
      <c r="D33" s="45"/>
      <c r="E33" s="66"/>
      <c r="G33" s="45"/>
      <c r="H33" s="45"/>
      <c r="I33" s="45"/>
      <c r="J33" s="45"/>
      <c r="K33" s="45"/>
      <c r="L33" s="45"/>
      <c r="N33" s="58"/>
      <c r="O33" s="45"/>
    </row>
    <row r="34" spans="1:15" s="42" customFormat="1" x14ac:dyDescent="0.2">
      <c r="A34" s="45"/>
      <c r="B34" s="45"/>
      <c r="C34" s="45"/>
      <c r="D34" s="45"/>
      <c r="E34" s="66"/>
      <c r="G34" s="45"/>
      <c r="H34" s="45"/>
      <c r="I34" s="45"/>
      <c r="J34" s="45"/>
      <c r="K34" s="45"/>
      <c r="L34" s="45"/>
      <c r="N34" s="58"/>
      <c r="O34" s="45"/>
    </row>
    <row r="35" spans="1:15" s="42" customFormat="1" x14ac:dyDescent="0.2">
      <c r="A35" s="45"/>
      <c r="B35" s="45"/>
      <c r="C35" s="45"/>
      <c r="D35" s="45"/>
      <c r="E35" s="66"/>
      <c r="G35" s="45"/>
      <c r="H35" s="45"/>
      <c r="I35" s="45"/>
      <c r="J35" s="45"/>
      <c r="K35" s="45"/>
      <c r="L35" s="45"/>
      <c r="N35" s="58"/>
      <c r="O35" s="45"/>
    </row>
    <row r="36" spans="1:15" s="42" customFormat="1" x14ac:dyDescent="0.2">
      <c r="A36" s="45"/>
      <c r="B36" s="45"/>
      <c r="C36" s="45"/>
      <c r="D36" s="45"/>
      <c r="E36" s="66"/>
      <c r="G36" s="45"/>
      <c r="H36" s="45"/>
      <c r="I36" s="45"/>
      <c r="J36" s="45"/>
      <c r="K36" s="45"/>
      <c r="L36" s="45"/>
      <c r="N36" s="58"/>
      <c r="O36" s="45"/>
    </row>
    <row r="37" spans="1:15" s="42" customFormat="1" x14ac:dyDescent="0.2">
      <c r="A37" s="45"/>
      <c r="B37" s="45"/>
      <c r="C37" s="45"/>
      <c r="D37" s="45"/>
      <c r="E37" s="66"/>
      <c r="G37" s="45"/>
      <c r="H37" s="45"/>
      <c r="I37" s="45"/>
      <c r="J37" s="45"/>
      <c r="K37" s="45"/>
      <c r="L37" s="45"/>
      <c r="N37" s="58"/>
      <c r="O37" s="45"/>
    </row>
    <row r="38" spans="1:15" s="42" customFormat="1" x14ac:dyDescent="0.2">
      <c r="A38" s="45"/>
      <c r="B38" s="45"/>
      <c r="C38" s="45"/>
      <c r="D38" s="45"/>
      <c r="E38" s="66"/>
      <c r="G38" s="45"/>
      <c r="H38" s="45"/>
      <c r="I38" s="45"/>
      <c r="J38" s="45"/>
      <c r="K38" s="45"/>
      <c r="L38" s="45"/>
      <c r="N38" s="58"/>
      <c r="O38" s="45"/>
    </row>
    <row r="39" spans="1:15" s="42" customFormat="1" x14ac:dyDescent="0.2">
      <c r="A39" s="45"/>
      <c r="B39" s="45"/>
      <c r="C39" s="45"/>
      <c r="D39" s="45"/>
      <c r="E39" s="66"/>
      <c r="G39" s="45"/>
      <c r="H39" s="45"/>
      <c r="I39" s="45"/>
      <c r="J39" s="45"/>
      <c r="K39" s="45"/>
      <c r="L39" s="45"/>
      <c r="N39" s="58"/>
      <c r="O39" s="45"/>
    </row>
    <row r="40" spans="1:15" s="42" customFormat="1" x14ac:dyDescent="0.2">
      <c r="A40" s="45"/>
      <c r="B40" s="45"/>
      <c r="C40" s="45"/>
      <c r="D40" s="45"/>
      <c r="E40" s="66"/>
      <c r="G40" s="45"/>
      <c r="H40" s="45"/>
      <c r="I40" s="45"/>
      <c r="J40" s="45"/>
      <c r="K40" s="45"/>
      <c r="L40" s="45"/>
      <c r="N40" s="58"/>
      <c r="O40" s="45"/>
    </row>
    <row r="41" spans="1:15" s="42" customFormat="1" x14ac:dyDescent="0.2">
      <c r="A41" s="45"/>
      <c r="B41" s="45"/>
      <c r="C41" s="45"/>
      <c r="D41" s="45"/>
      <c r="E41" s="66"/>
      <c r="G41" s="45"/>
      <c r="H41" s="45"/>
      <c r="I41" s="45"/>
      <c r="J41" s="45"/>
      <c r="K41" s="45"/>
      <c r="L41" s="45"/>
      <c r="N41" s="58"/>
      <c r="O41" s="45"/>
    </row>
    <row r="42" spans="1:15" s="42" customFormat="1" x14ac:dyDescent="0.2">
      <c r="A42" s="45"/>
      <c r="B42" s="45"/>
      <c r="C42" s="45"/>
      <c r="D42" s="45"/>
      <c r="E42" s="66"/>
      <c r="G42" s="45"/>
      <c r="H42" s="45"/>
      <c r="I42" s="45"/>
      <c r="J42" s="45"/>
      <c r="K42" s="45"/>
      <c r="L42" s="45"/>
      <c r="N42" s="58"/>
      <c r="O42" s="45"/>
    </row>
    <row r="43" spans="1:15" s="42" customFormat="1" x14ac:dyDescent="0.2">
      <c r="A43" s="45"/>
      <c r="B43" s="45"/>
      <c r="C43" s="45"/>
      <c r="D43" s="45"/>
      <c r="E43" s="66"/>
      <c r="G43" s="45"/>
      <c r="H43" s="45"/>
      <c r="I43" s="45"/>
      <c r="J43" s="45"/>
      <c r="K43" s="45"/>
      <c r="L43" s="45"/>
      <c r="N43" s="58"/>
      <c r="O43" s="45"/>
    </row>
    <row r="44" spans="1:15" s="42" customFormat="1" x14ac:dyDescent="0.2">
      <c r="A44" s="45"/>
      <c r="B44" s="45"/>
      <c r="C44" s="45"/>
      <c r="D44" s="45"/>
      <c r="E44" s="66"/>
      <c r="G44" s="45"/>
      <c r="H44" s="45"/>
      <c r="I44" s="45"/>
      <c r="J44" s="45"/>
      <c r="K44" s="45"/>
      <c r="L44" s="45"/>
      <c r="N44" s="58"/>
      <c r="O44" s="45"/>
    </row>
    <row r="45" spans="1:15" s="42" customFormat="1" x14ac:dyDescent="0.2">
      <c r="A45" s="45"/>
      <c r="B45" s="45"/>
      <c r="C45" s="45"/>
      <c r="D45" s="45"/>
      <c r="E45" s="66"/>
      <c r="G45" s="45"/>
      <c r="H45" s="45"/>
      <c r="I45" s="45"/>
      <c r="J45" s="45"/>
      <c r="K45" s="45"/>
      <c r="L45" s="45"/>
      <c r="N45" s="58"/>
      <c r="O45" s="45"/>
    </row>
    <row r="46" spans="1:15" s="42" customFormat="1" x14ac:dyDescent="0.2">
      <c r="A46" s="45"/>
      <c r="B46" s="45"/>
      <c r="C46" s="45"/>
      <c r="D46" s="45"/>
      <c r="E46" s="66"/>
      <c r="G46" s="45"/>
      <c r="H46" s="45"/>
      <c r="I46" s="45"/>
      <c r="J46" s="45"/>
      <c r="K46" s="45"/>
      <c r="L46" s="45"/>
      <c r="N46" s="58"/>
      <c r="O46" s="45"/>
    </row>
    <row r="47" spans="1:15" s="42" customFormat="1" x14ac:dyDescent="0.2">
      <c r="A47" s="45"/>
      <c r="B47" s="45"/>
      <c r="C47" s="45"/>
      <c r="D47" s="45"/>
      <c r="E47" s="66"/>
      <c r="G47" s="45"/>
      <c r="H47" s="45"/>
      <c r="I47" s="45"/>
      <c r="J47" s="45"/>
      <c r="K47" s="45"/>
      <c r="L47" s="45"/>
      <c r="N47" s="58"/>
      <c r="O47" s="45"/>
    </row>
    <row r="48" spans="1:15" s="42" customFormat="1" x14ac:dyDescent="0.2">
      <c r="A48" s="45"/>
      <c r="B48" s="45"/>
      <c r="C48" s="45"/>
      <c r="D48" s="45"/>
      <c r="E48" s="66"/>
      <c r="G48" s="45"/>
      <c r="H48" s="45"/>
      <c r="I48" s="45"/>
      <c r="J48" s="45"/>
      <c r="K48" s="45"/>
      <c r="L48" s="45"/>
      <c r="N48" s="58"/>
      <c r="O48" s="45"/>
    </row>
    <row r="49" spans="1:15" s="42" customFormat="1" x14ac:dyDescent="0.2">
      <c r="A49" s="45"/>
      <c r="B49" s="45"/>
      <c r="C49" s="45"/>
      <c r="D49" s="45"/>
      <c r="E49" s="66"/>
      <c r="G49" s="45"/>
      <c r="H49" s="45"/>
      <c r="I49" s="45"/>
      <c r="J49" s="45"/>
      <c r="K49" s="45"/>
      <c r="L49" s="45"/>
      <c r="N49" s="58"/>
      <c r="O49" s="45"/>
    </row>
  </sheetData>
  <autoFilter ref="A2:O6" xr:uid="{00000000-0001-0000-0400-000000000000}"/>
  <sortState xmlns:xlrd2="http://schemas.microsoft.com/office/spreadsheetml/2017/richdata2" ref="A1:N53">
    <sortCondition ref="B1"/>
  </sortState>
  <mergeCells count="9">
    <mergeCell ref="N1:N2"/>
    <mergeCell ref="M1:M2"/>
    <mergeCell ref="C1:F1"/>
    <mergeCell ref="H1:J1"/>
    <mergeCell ref="A1:A2"/>
    <mergeCell ref="B1:B2"/>
    <mergeCell ref="G1:G2"/>
    <mergeCell ref="K1:K2"/>
    <mergeCell ref="L1:L2"/>
  </mergeCells>
  <phoneticPr fontId="12" type="noConversion"/>
  <conditionalFormatting sqref="C1 C2:F2 C7:D18 F7:F18 C19:F49">
    <cfRule type="expression" dxfId="5" priority="460">
      <formula>AND($O1&lt;&gt;"",C1="")</formula>
    </cfRule>
  </conditionalFormatting>
  <conditionalFormatting sqref="C3:F3">
    <cfRule type="expression" dxfId="4" priority="13">
      <formula>AND(#REF!&lt;&gt;"",C3="")</formula>
    </cfRule>
  </conditionalFormatting>
  <conditionalFormatting sqref="C4:F6 E7:E18">
    <cfRule type="expression" dxfId="3" priority="10">
      <formula>AND($O3&lt;&gt;"",C4="")</formula>
    </cfRule>
  </conditionalFormatting>
  <conditionalFormatting sqref="H1 H2:J49">
    <cfRule type="expression" dxfId="2" priority="452">
      <formula>$I1&lt;&gt;MONTH(DATE($H1,$I1,$J1))</formula>
    </cfRule>
  </conditionalFormatting>
  <conditionalFormatting sqref="M3">
    <cfRule type="expression" dxfId="1" priority="15">
      <formula>COUNTIF(M3:M$3,M3)&gt;1</formula>
    </cfRule>
  </conditionalFormatting>
  <conditionalFormatting sqref="M4:M49">
    <cfRule type="expression" dxfId="0" priority="20">
      <formula>COUNTIF(M$3:M4,M4)&gt;1</formula>
    </cfRule>
  </conditionalFormatting>
  <dataValidations count="12">
    <dataValidation type="list" allowBlank="1" showInputMessage="1" showErrorMessage="1" sqref="D2 D4:D49" xr:uid="{00000000-0002-0000-0400-000000000000}">
      <formula1>BMSmfg</formula1>
    </dataValidation>
    <dataValidation type="list" allowBlank="1" showInputMessage="1" showErrorMessage="1" sqref="F2 F4:F49" xr:uid="{00000000-0002-0000-0400-000001000000}">
      <formula1>BatteryConfig</formula1>
    </dataValidation>
    <dataValidation type="list" allowBlank="1" showInputMessage="1" showErrorMessage="1" sqref="C1:C2 C4:C49" xr:uid="{00000000-0002-0000-0400-000003000000}">
      <formula1>BMSsupplier</formula1>
    </dataValidation>
    <dataValidation type="list" allowBlank="1" showInputMessage="1" showErrorMessage="1" sqref="G1 G4:G49" xr:uid="{00000000-0002-0000-0400-000004000000}">
      <formula1>PackSupplier</formula1>
    </dataValidation>
    <dataValidation type="whole" allowBlank="1" showInputMessage="1" showErrorMessage="1" prompt="Enter a year between 2000 and 2127._x000a__x000a_If highlighted, date may not be valid." sqref="H1:H2 H4:H49" xr:uid="{00000000-0002-0000-0400-000005000000}">
      <formula1>2000</formula1>
      <formula2>2127</formula2>
    </dataValidation>
    <dataValidation type="whole" allowBlank="1" showInputMessage="1" showErrorMessage="1" prompt="Enter a month between 1 and 12._x000a__x000a_If highlighted, date may not be valid." sqref="I2 I4:I49" xr:uid="{00000000-0002-0000-0400-000006000000}">
      <formula1>1</formula1>
      <formula2>12</formula2>
    </dataValidation>
    <dataValidation type="whole" allowBlank="1" showInputMessage="1" showErrorMessage="1" prompt="Enter a date between 1 and 31._x000a__x000a_If highlighted, date may not be valid." sqref="J2 J4:J49" xr:uid="{00000000-0002-0000-0400-000007000000}">
      <formula1>1</formula1>
      <formula2>31</formula2>
    </dataValidation>
    <dataValidation allowBlank="1" showInputMessage="1" showErrorMessage="1" prompt="Enter a number between 0 and 15." sqref="K1:K2" xr:uid="{00000000-0002-0000-0400-00000A000000}"/>
    <dataValidation allowBlank="1" showInputMessage="1" showErrorMessage="1" prompt="Enter a number between 0 and 65535." sqref="L1:L2" xr:uid="{00000000-0002-0000-0400-00000B000000}"/>
    <dataValidation type="list" allowBlank="1" showInputMessage="1" showErrorMessage="1" sqref="E2:E49" xr:uid="{00000000-0002-0000-0400-000002000000}">
      <formula1>BALcellPtNum</formula1>
    </dataValidation>
    <dataValidation type="whole" allowBlank="1" showInputMessage="1" showErrorMessage="1" prompt="Enter a number between 0 and 15." sqref="K4:K49" xr:uid="{00000000-0002-0000-0400-000008000000}">
      <formula1>0</formula1>
      <formula2>15</formula2>
    </dataValidation>
    <dataValidation type="whole" allowBlank="1" showInputMessage="1" showErrorMessage="1" prompt="Enter a number between 0 and 65535." sqref="L4:L49" xr:uid="{00000000-0002-0000-0400-000009000000}">
      <formula1>1</formula1>
      <formula2>65535</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C000000}">
          <x14:formula1>
            <xm:f>DB!$A$3:$A$53</xm:f>
          </x14:formula1>
          <xm:sqref>B1 B4:B1048576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K30"/>
  <sheetViews>
    <sheetView zoomScale="85" zoomScaleNormal="85" workbookViewId="0">
      <selection activeCell="D18" sqref="D18"/>
    </sheetView>
  </sheetViews>
  <sheetFormatPr defaultColWidth="8.85546875" defaultRowHeight="15" x14ac:dyDescent="0.25"/>
  <cols>
    <col min="1" max="1" width="8.85546875" style="11"/>
    <col min="2" max="2" width="24" style="11" bestFit="1" customWidth="1"/>
    <col min="3" max="3" width="8.85546875" style="11"/>
    <col min="4" max="5" width="8.140625" style="11" bestFit="1" customWidth="1"/>
    <col min="6" max="6" width="12.28515625" style="11" bestFit="1" customWidth="1"/>
    <col min="7" max="7" width="9" style="11" bestFit="1" customWidth="1"/>
    <col min="8" max="8" width="8.85546875" style="11"/>
    <col min="9" max="9" width="9.7109375" style="11" bestFit="1" customWidth="1"/>
    <col min="10" max="10" width="9" style="11" bestFit="1" customWidth="1"/>
    <col min="11" max="16384" width="8.85546875" style="11"/>
  </cols>
  <sheetData>
    <row r="1" spans="1:11" x14ac:dyDescent="0.25">
      <c r="A1" s="10"/>
      <c r="B1" s="10"/>
      <c r="C1" s="10"/>
      <c r="D1" s="10"/>
      <c r="E1" s="10"/>
      <c r="F1" s="10"/>
      <c r="G1" s="10"/>
      <c r="H1" s="10"/>
      <c r="I1" s="10"/>
      <c r="J1" s="10"/>
      <c r="K1" s="10"/>
    </row>
    <row r="2" spans="1:11" x14ac:dyDescent="0.25">
      <c r="A2" s="10"/>
      <c r="C2" s="10"/>
      <c r="D2" s="10" t="s">
        <v>0</v>
      </c>
      <c r="E2" s="10" t="s">
        <v>9</v>
      </c>
      <c r="F2" s="10" t="s">
        <v>12</v>
      </c>
      <c r="G2" s="10"/>
      <c r="H2" s="10"/>
      <c r="I2" s="10"/>
      <c r="J2" s="10"/>
      <c r="K2" s="10"/>
    </row>
    <row r="3" spans="1:11" x14ac:dyDescent="0.25">
      <c r="A3" s="10"/>
      <c r="B3" s="10" t="s">
        <v>1</v>
      </c>
      <c r="C3" s="10"/>
      <c r="D3" s="10">
        <v>3000000</v>
      </c>
      <c r="E3" s="10">
        <v>1000000</v>
      </c>
      <c r="F3" s="10"/>
      <c r="G3" s="10"/>
      <c r="H3" s="10"/>
      <c r="I3" s="10"/>
      <c r="J3" s="10"/>
      <c r="K3" s="10"/>
    </row>
    <row r="4" spans="1:11" x14ac:dyDescent="0.25">
      <c r="A4" s="10"/>
      <c r="B4" s="10" t="s">
        <v>2</v>
      </c>
      <c r="C4" s="10"/>
      <c r="D4" s="12">
        <v>0.01</v>
      </c>
      <c r="E4" s="12">
        <v>0.03</v>
      </c>
      <c r="F4" s="10"/>
      <c r="G4" s="10"/>
      <c r="H4" s="10"/>
      <c r="I4" s="10"/>
      <c r="J4" s="10"/>
      <c r="K4" s="10"/>
    </row>
    <row r="5" spans="1:11" x14ac:dyDescent="0.25">
      <c r="A5" s="10"/>
      <c r="B5" s="10"/>
      <c r="C5" s="10"/>
      <c r="D5" s="10">
        <f>D3*D4</f>
        <v>30000</v>
      </c>
      <c r="E5" s="10">
        <f>E3*E4</f>
        <v>30000</v>
      </c>
      <c r="F5" s="10"/>
      <c r="G5" s="10"/>
      <c r="H5" s="10"/>
      <c r="I5" s="10"/>
      <c r="J5" s="10"/>
      <c r="K5" s="10"/>
    </row>
    <row r="6" spans="1:11" x14ac:dyDescent="0.25">
      <c r="A6" s="10"/>
      <c r="B6" s="10" t="s">
        <v>3</v>
      </c>
      <c r="C6" s="10"/>
      <c r="D6" s="10">
        <v>1</v>
      </c>
      <c r="E6" s="10">
        <v>3</v>
      </c>
      <c r="F6" s="10"/>
      <c r="G6" s="10"/>
      <c r="H6" s="10"/>
      <c r="I6" s="10"/>
      <c r="J6" s="10"/>
      <c r="K6" s="10"/>
    </row>
    <row r="7" spans="1:11" x14ac:dyDescent="0.25">
      <c r="A7" s="10"/>
      <c r="B7" s="10" t="s">
        <v>4</v>
      </c>
      <c r="C7" s="10"/>
      <c r="D7" s="12">
        <v>0.25</v>
      </c>
      <c r="E7" s="12">
        <v>0.75</v>
      </c>
      <c r="F7" s="10"/>
      <c r="G7" s="10"/>
      <c r="H7" s="10"/>
      <c r="I7" s="10"/>
      <c r="J7" s="10"/>
      <c r="K7" s="10"/>
    </row>
    <row r="8" spans="1:11" x14ac:dyDescent="0.25">
      <c r="A8" s="10"/>
      <c r="B8" s="10" t="s">
        <v>5</v>
      </c>
      <c r="C8" s="10"/>
      <c r="D8" s="10">
        <v>2.5</v>
      </c>
      <c r="E8" s="10">
        <v>2.5</v>
      </c>
      <c r="F8" s="10"/>
      <c r="G8" s="10"/>
      <c r="H8" s="10"/>
      <c r="I8" s="10"/>
      <c r="J8" s="10"/>
      <c r="K8" s="10"/>
    </row>
    <row r="9" spans="1:11" x14ac:dyDescent="0.25">
      <c r="A9" s="10"/>
      <c r="B9" s="10" t="s">
        <v>6</v>
      </c>
      <c r="C9" s="10"/>
      <c r="D9" s="10">
        <v>1.01</v>
      </c>
      <c r="E9" s="10">
        <v>1.01</v>
      </c>
      <c r="F9" s="10"/>
      <c r="G9" s="10"/>
      <c r="H9" s="10"/>
      <c r="I9" s="10"/>
      <c r="J9" s="10"/>
      <c r="K9" s="10"/>
    </row>
    <row r="10" spans="1:11" x14ac:dyDescent="0.25">
      <c r="A10" s="10"/>
      <c r="B10" s="10" t="s">
        <v>10</v>
      </c>
      <c r="C10" s="10"/>
      <c r="D10" s="10">
        <f>D5*D7*D6*D8+D5*(1-D7)*D6*D9</f>
        <v>41475</v>
      </c>
      <c r="E10" s="10">
        <f>E5*E7*E6*E8+E5*(1-E7)*E6*E9</f>
        <v>191475</v>
      </c>
      <c r="F10" s="10"/>
      <c r="H10" s="10"/>
      <c r="I10" s="10"/>
      <c r="J10" s="10"/>
      <c r="K10" s="10"/>
    </row>
    <row r="11" spans="1:11" x14ac:dyDescent="0.25">
      <c r="A11" s="10"/>
      <c r="B11" s="10" t="s">
        <v>11</v>
      </c>
      <c r="C11" s="10"/>
      <c r="D11" s="10">
        <f>D10/10</f>
        <v>4147.5</v>
      </c>
      <c r="E11" s="10">
        <f>E10/10</f>
        <v>19147.5</v>
      </c>
      <c r="F11" s="10">
        <f>D11+E11</f>
        <v>23295</v>
      </c>
      <c r="G11" s="10"/>
      <c r="H11" s="10"/>
      <c r="I11" s="10"/>
      <c r="J11" s="10"/>
      <c r="K11" s="10"/>
    </row>
    <row r="12" spans="1:11" x14ac:dyDescent="0.25">
      <c r="A12" s="10"/>
      <c r="B12" s="10" t="s">
        <v>7</v>
      </c>
      <c r="C12" s="10"/>
      <c r="E12" s="10"/>
      <c r="F12" s="10">
        <v>10</v>
      </c>
      <c r="G12" s="10"/>
      <c r="H12" s="10"/>
      <c r="I12" s="10"/>
      <c r="J12" s="10"/>
      <c r="K12" s="10"/>
    </row>
    <row r="13" spans="1:11" x14ac:dyDescent="0.25">
      <c r="A13" s="10"/>
      <c r="B13" s="10" t="s">
        <v>8</v>
      </c>
      <c r="C13" s="10"/>
      <c r="E13" s="12"/>
      <c r="F13" s="12">
        <v>0.1</v>
      </c>
      <c r="G13" s="10"/>
      <c r="H13" s="10"/>
      <c r="I13" s="10"/>
      <c r="J13" s="10"/>
      <c r="K13" s="10"/>
    </row>
    <row r="14" spans="1:11" x14ac:dyDescent="0.25">
      <c r="A14" s="10"/>
      <c r="B14" s="10" t="s">
        <v>13</v>
      </c>
      <c r="C14" s="10"/>
      <c r="D14" s="10"/>
      <c r="E14" s="10"/>
      <c r="F14" s="10">
        <f>F11*(1-(1+F13)^F12)/(1-(1+F13))</f>
        <v>371262.30608029512</v>
      </c>
      <c r="H14" s="10"/>
      <c r="I14" s="10"/>
      <c r="J14" s="10"/>
      <c r="K14" s="10"/>
    </row>
    <row r="15" spans="1:11" x14ac:dyDescent="0.25">
      <c r="A15" s="10"/>
      <c r="B15" s="10" t="s">
        <v>14</v>
      </c>
      <c r="C15" s="10"/>
      <c r="D15" s="10"/>
      <c r="E15" s="10"/>
      <c r="F15" s="10">
        <f>LOG(F14,2)</f>
        <v>18.502079321567106</v>
      </c>
      <c r="G15" s="10"/>
      <c r="H15" s="10"/>
      <c r="I15" s="10"/>
      <c r="J15" s="10"/>
      <c r="K15" s="10"/>
    </row>
    <row r="16" spans="1:11" x14ac:dyDescent="0.25">
      <c r="A16" s="10"/>
      <c r="B16" s="10"/>
      <c r="C16" s="10"/>
      <c r="D16" s="10"/>
      <c r="E16" s="10"/>
      <c r="G16" s="10"/>
      <c r="H16" s="10"/>
      <c r="J16" s="10"/>
      <c r="K16" s="10"/>
    </row>
    <row r="17" spans="1:11" x14ac:dyDescent="0.25">
      <c r="A17" s="10"/>
      <c r="B17" s="10"/>
      <c r="C17" s="10"/>
      <c r="D17" s="10"/>
      <c r="E17" s="10"/>
      <c r="F17" s="10"/>
      <c r="J17" s="10"/>
      <c r="K17" s="10"/>
    </row>
    <row r="18" spans="1:11" x14ac:dyDescent="0.25">
      <c r="A18" s="10"/>
      <c r="B18" s="10"/>
      <c r="C18" s="10"/>
      <c r="E18" s="10"/>
      <c r="F18" s="10"/>
      <c r="J18" s="10"/>
      <c r="K18" s="10"/>
    </row>
    <row r="19" spans="1:11" x14ac:dyDescent="0.25">
      <c r="A19" s="10"/>
      <c r="B19" s="10"/>
      <c r="C19" s="10"/>
      <c r="E19" s="10"/>
      <c r="F19" s="10"/>
      <c r="G19" s="10"/>
      <c r="H19" s="10"/>
      <c r="K19" s="10"/>
    </row>
    <row r="20" spans="1:11" x14ac:dyDescent="0.25">
      <c r="A20" s="10"/>
      <c r="B20" s="10"/>
      <c r="C20" s="10"/>
      <c r="E20" s="10"/>
      <c r="F20" s="10"/>
      <c r="G20" s="10"/>
      <c r="H20" s="10"/>
      <c r="I20" s="10"/>
      <c r="J20" s="10"/>
      <c r="K20" s="10"/>
    </row>
    <row r="21" spans="1:11" x14ac:dyDescent="0.25">
      <c r="A21" s="10"/>
      <c r="B21" s="10"/>
      <c r="C21" s="10"/>
      <c r="E21" s="10"/>
      <c r="F21" s="10"/>
      <c r="G21" s="10"/>
      <c r="H21" s="10"/>
      <c r="I21" s="10"/>
      <c r="J21" s="10"/>
      <c r="K21" s="10"/>
    </row>
    <row r="22" spans="1:11" x14ac:dyDescent="0.25">
      <c r="A22" s="10"/>
      <c r="B22" s="10"/>
      <c r="C22" s="10"/>
      <c r="E22" s="10"/>
      <c r="F22" s="10"/>
      <c r="G22" s="10"/>
      <c r="H22" s="10"/>
      <c r="I22" s="10"/>
      <c r="J22" s="10"/>
      <c r="K22" s="10"/>
    </row>
    <row r="23" spans="1:11" x14ac:dyDescent="0.25">
      <c r="A23" s="10"/>
      <c r="B23" s="10"/>
      <c r="C23" s="10"/>
      <c r="E23" s="10"/>
      <c r="F23" s="10"/>
      <c r="G23" s="10"/>
      <c r="H23" s="10"/>
      <c r="I23" s="10"/>
      <c r="J23" s="10"/>
      <c r="K23" s="10"/>
    </row>
    <row r="24" spans="1:11" x14ac:dyDescent="0.25">
      <c r="A24" s="10"/>
      <c r="B24" s="10"/>
      <c r="C24" s="10"/>
      <c r="E24" s="10"/>
      <c r="F24" s="10"/>
      <c r="G24" s="10"/>
      <c r="H24" s="10"/>
      <c r="I24" s="10"/>
      <c r="J24" s="10"/>
      <c r="K24" s="10"/>
    </row>
    <row r="25" spans="1:11" x14ac:dyDescent="0.25">
      <c r="A25" s="10"/>
      <c r="B25" s="10"/>
      <c r="C25" s="10"/>
      <c r="E25" s="10"/>
      <c r="F25" s="10"/>
      <c r="H25" s="10"/>
      <c r="I25" s="10"/>
      <c r="J25" s="10"/>
      <c r="K25" s="10"/>
    </row>
    <row r="26" spans="1:11" x14ac:dyDescent="0.25">
      <c r="A26" s="10"/>
      <c r="B26" s="10"/>
      <c r="C26" s="10"/>
      <c r="E26" s="10"/>
      <c r="F26" s="10"/>
      <c r="G26" s="10"/>
      <c r="H26" s="10"/>
      <c r="I26" s="10"/>
      <c r="J26" s="10"/>
      <c r="K26" s="10"/>
    </row>
    <row r="27" spans="1:11" x14ac:dyDescent="0.25">
      <c r="A27" s="10"/>
      <c r="B27" s="10"/>
      <c r="C27" s="10"/>
      <c r="E27" s="10"/>
      <c r="F27" s="10"/>
      <c r="G27" s="10"/>
      <c r="H27" s="10"/>
      <c r="I27" s="10"/>
      <c r="J27" s="10"/>
      <c r="K27" s="10"/>
    </row>
    <row r="28" spans="1:11" x14ac:dyDescent="0.25">
      <c r="A28" s="10"/>
      <c r="B28" s="10"/>
      <c r="C28" s="10"/>
      <c r="E28" s="10"/>
      <c r="F28" s="10"/>
      <c r="G28" s="10"/>
      <c r="H28" s="10"/>
      <c r="I28" s="10"/>
      <c r="J28" s="10"/>
      <c r="K28" s="10"/>
    </row>
    <row r="29" spans="1:11" x14ac:dyDescent="0.25">
      <c r="A29" s="10"/>
      <c r="B29" s="10"/>
      <c r="C29" s="10"/>
      <c r="D29" s="10"/>
      <c r="E29" s="10"/>
      <c r="F29" s="10"/>
      <c r="G29" s="10"/>
      <c r="H29" s="10"/>
      <c r="I29" s="10"/>
      <c r="J29" s="10"/>
      <c r="K29" s="10"/>
    </row>
    <row r="30" spans="1:11" x14ac:dyDescent="0.25">
      <c r="A30" s="10"/>
      <c r="B30" s="10"/>
      <c r="C30" s="10"/>
      <c r="D30" s="10"/>
      <c r="E30" s="10"/>
      <c r="F30" s="10"/>
      <c r="G30" s="10"/>
      <c r="H30" s="10"/>
      <c r="I30" s="10"/>
      <c r="J30" s="10"/>
      <c r="K30" s="10"/>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Rev History</vt:lpstr>
      <vt:lpstr>Documentation</vt:lpstr>
      <vt:lpstr>Format</vt:lpstr>
      <vt:lpstr>DB</vt:lpstr>
      <vt:lpstr>BINuniverse</vt:lpstr>
      <vt:lpstr>VolumeEstimation</vt:lpstr>
      <vt:lpstr>BALcellPtNum</vt:lpstr>
      <vt:lpstr>BALptNum</vt:lpstr>
      <vt:lpstr>BatteryConfig</vt:lpstr>
      <vt:lpstr>BMSmfg</vt:lpstr>
      <vt:lpstr>BMSsupplier</vt:lpstr>
      <vt:lpstr>Cellmfg</vt:lpstr>
      <vt:lpstr>PackSupplier</vt:lpstr>
    </vt:vector>
  </TitlesOfParts>
  <Company>Ahead Bajaj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ANEESH BHIR</dc:creator>
  <cp:lastModifiedBy>Orbittal Electromech Engineering Projects Pvt. Ltd.</cp:lastModifiedBy>
  <dcterms:created xsi:type="dcterms:W3CDTF">2020-05-26T14:55:42Z</dcterms:created>
  <dcterms:modified xsi:type="dcterms:W3CDTF">2026-07-30T07:13:56Z</dcterms:modified>
</cp:coreProperties>
</file>