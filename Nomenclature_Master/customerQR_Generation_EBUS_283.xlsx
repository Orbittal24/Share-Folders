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9" i="1"/>
  <c r="H26" i="1" s="1"/>
  <c r="H5" i="1"/>
</calcChain>
</file>

<file path=xl/sharedStrings.xml><?xml version="1.0" encoding="utf-8"?>
<sst xmlns="http://schemas.openxmlformats.org/spreadsheetml/2006/main" count="31" uniqueCount="20">
  <si>
    <t>S.No</t>
  </si>
  <si>
    <t>Code Description</t>
  </si>
  <si>
    <t>Applicability</t>
  </si>
  <si>
    <t>Type</t>
  </si>
  <si>
    <t>Static</t>
  </si>
  <si>
    <t>Colon</t>
  </si>
  <si>
    <t>Part number</t>
  </si>
  <si>
    <t>DTAGGES22</t>
  </si>
  <si>
    <t>Date</t>
  </si>
  <si>
    <t>Dynamic</t>
  </si>
  <si>
    <t>Serial number</t>
  </si>
  <si>
    <t>MIS CustomerQR</t>
  </si>
  <si>
    <t>Pack No</t>
  </si>
  <si>
    <t>module_pack</t>
  </si>
  <si>
    <t>EBUS 283</t>
  </si>
  <si>
    <t>7206183$F2X08700$00</t>
  </si>
  <si>
    <t>$</t>
  </si>
  <si>
    <t>$000/000$000/000$000/000$#1$BATTERY PACK SYSTEM 282.62KWH$TACO GOTION$</t>
  </si>
  <si>
    <t>01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</si>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</sst>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 wrapText="1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26"/>
  <sheetViews>
    <sheetView tabSelected="1" workbookViewId="0">
      <selection activeCell="D12" sqref="D12"/>
    </sheetView>
  </sheetViews>
  <sheetFormatPr defaultRowHeight="15" x14ac:dyDescent="0.25"/>
  <cols>
    <col min="3" max="3" width="9.85546875" customWidth="1"/>
    <col min="4" max="4" width="24" customWidth="1"/>
    <col min="5" max="5" width="25.5703125" customWidth="1"/>
    <col min="6" max="6" width="22.85546875" customWidth="1"/>
    <col min="7" max="7" width="31.5703125" customWidth="1"/>
    <col min="8" max="8" width="44.42578125" customWidth="1"/>
  </cols>
  <sheetData>
    <row r="2" spans="3:8" ht="15.75" thickBot="1" x14ac:dyDescent="0.3">
      <c r="D2" t="s">
        <v>12</v>
      </c>
      <c r="E2">
        <v>523454</v>
      </c>
      <c r="F2" t="s">
        <v>13</v>
      </c>
      <c r="G2" s="8" t="s">
        <v>18</v>
      </c>
    </row>
    <row r="3" spans="3:8" ht="18" thickBot="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14</v>
      </c>
      <c r="H3" s="4" t="s">
        <v>11</v>
      </c>
    </row>
    <row r="4" spans="3:8" ht="18" thickBot="1" x14ac:dyDescent="0.3">
      <c r="C4" s="2">
        <v>1</v>
      </c>
      <c r="D4" s="2" t="s">
        <v>14</v>
      </c>
      <c r="E4" s="2">
        <v>3</v>
      </c>
      <c r="F4" s="2" t="s">
        <v>4</v>
      </c>
      <c r="G4" s="5" t="s">
        <v>15</v>
      </c>
      <c r="H4" s="5" t="s">
        <v>15</v>
      </c>
    </row>
    <row r="5" spans="3:8" ht="18" thickBot="1" x14ac:dyDescent="0.3">
      <c r="C5" s="2">
        <v>2</v>
      </c>
      <c r="D5" s="2" t="s">
        <v>10</v>
      </c>
      <c r="E5" s="2"/>
      <c r="F5" s="2" t="s">
        <v>9</v>
      </c>
      <c r="G5" s="2">
        <v>523454</v>
      </c>
      <c r="H5" s="6" t="str">
        <f>TEXT(E2,"000000")</f>
        <v>523454</v>
      </c>
    </row>
    <row r="6" spans="3:8" ht="18" thickBot="1" x14ac:dyDescent="0.3">
      <c r="C6" s="2">
        <v>3</v>
      </c>
      <c r="D6" s="2"/>
      <c r="E6" s="2"/>
      <c r="F6" s="2" t="s">
        <v>4</v>
      </c>
      <c r="G6" s="5" t="s">
        <v>19</v>
      </c>
      <c r="H6" s="5" t="s">
        <v>19</v>
      </c>
    </row>
    <row r="7" spans="3:8" ht="18" thickBot="1" x14ac:dyDescent="0.3">
      <c r="C7" s="2">
        <v>4</v>
      </c>
      <c r="D7" s="2" t="s">
        <v>6</v>
      </c>
      <c r="E7" s="2">
        <v>13</v>
      </c>
      <c r="F7" s="2" t="s">
        <v>9</v>
      </c>
      <c r="G7" s="5"/>
      <c r="H7" s="6" t="str">
        <f>TEXT(G2, "00")</f>
        <v>01</v>
      </c>
    </row>
    <row r="8" spans="3:8" ht="18" thickBot="1" x14ac:dyDescent="0.3">
      <c r="C8" s="2">
        <v>5</v>
      </c>
      <c r="D8" s="2" t="s">
        <v>5</v>
      </c>
      <c r="E8" s="2">
        <v>1</v>
      </c>
      <c r="F8" s="2" t="s">
        <v>4</v>
      </c>
      <c r="G8" s="2" t="s">
        <v>16</v>
      </c>
      <c r="H8" s="2" t="s">
        <v>16</v>
      </c>
    </row>
    <row r="9" spans="3:8" ht="18" thickBot="1" x14ac:dyDescent="0.3">
      <c r="C9" s="2">
        <v>6</v>
      </c>
      <c r="D9" s="2" t="s">
        <v>8</v>
      </c>
      <c r="E9" s="2">
        <v>8</v>
      </c>
      <c r="F9" s="2" t="s">
        <v>9</v>
      </c>
      <c r="G9" s="2" t="s">
        <v>7</v>
      </c>
      <c r="H9" s="2" t="str">
        <f ca="1">TEXT(TODAY(), "DD.MM.YYYY")</f>
        <v>08.10.2025</v>
      </c>
    </row>
    <row r="10" spans="3:8" ht="69.75" thickBot="1" x14ac:dyDescent="0.3">
      <c r="C10" s="2">
        <v>7</v>
      </c>
      <c r="D10" s="2" t="s">
        <v>10</v>
      </c>
      <c r="E10" s="2">
        <v>6</v>
      </c>
      <c r="F10" s="2" t="s">
        <v>4</v>
      </c>
      <c r="G10" s="2" t="s">
        <v>17</v>
      </c>
      <c r="H10" s="7" t="s">
        <v>17</v>
      </c>
    </row>
    <row r="14" spans="3:8" x14ac:dyDescent="0.25">
      <c r="F14" s="3"/>
    </row>
    <row r="26" spans="8:8" x14ac:dyDescent="0.25">
      <c r="H26" t="str">
        <f ca="1">H4&amp;H5&amp;H6&amp;H7&amp;H8&amp;H9&amp;H10</f>
        <v>7206183$F2X08700$00523454-01$08.10.2025$000/000$000/000$000/000$#1$BATTERY PACK SYSTEM 282.62KWH$TACO GOTION$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2025-10-08T12:52:35Z</dcterms:modified>
</cp:coreProperties>
</file>